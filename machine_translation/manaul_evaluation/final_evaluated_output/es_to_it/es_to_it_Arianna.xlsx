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Erada51A2S/Zmch+Q03fo6fxK3ZE1C54e6b95+w+AQ="/>
    </ext>
  </extLst>
</workbook>
</file>

<file path=xl/sharedStrings.xml><?xml version="1.0" encoding="utf-8"?>
<sst xmlns="http://schemas.openxmlformats.org/spreadsheetml/2006/main" count="520" uniqueCount="361">
  <si>
    <t>unique id</t>
  </si>
  <si>
    <t>source language</t>
  </si>
  <si>
    <t>target language</t>
  </si>
  <si>
    <t>source verbalization</t>
  </si>
  <si>
    <t>target verbalization</t>
  </si>
  <si>
    <t>target verbalization score</t>
  </si>
  <si>
    <t>target verbalization quality category</t>
  </si>
  <si>
    <t>target verbalization detected errors</t>
  </si>
  <si>
    <t>target verbalization minor errors</t>
  </si>
  <si>
    <t>target verbalization major errors</t>
  </si>
  <si>
    <t>target verbalization critical errors</t>
  </si>
  <si>
    <t>corrected target verbalization explanations</t>
  </si>
  <si>
    <t>corrected target verbalization</t>
  </si>
  <si>
    <t>Terminology</t>
  </si>
  <si>
    <t>Mistranslation</t>
  </si>
  <si>
    <t>Omission</t>
  </si>
  <si>
    <t>Addition</t>
  </si>
  <si>
    <t>Untranslated</t>
  </si>
  <si>
    <t>Grammar</t>
  </si>
  <si>
    <t>Style</t>
  </si>
  <si>
    <t>Spelling</t>
  </si>
  <si>
    <t>Typography</t>
  </si>
  <si>
    <t>Unintelligible</t>
  </si>
  <si>
    <t>Corrected translation</t>
  </si>
  <si>
    <t>Total Accuracy</t>
  </si>
  <si>
    <t>Total Fluency</t>
  </si>
  <si>
    <t>Note</t>
  </si>
  <si>
    <t>QQVHZ8</t>
  </si>
  <si>
    <t>es</t>
  </si>
  <si>
    <t>it</t>
  </si>
  <si>
    <t>Lenin fue presidente del Consejo de Comisarios del Pueblo de la RSFS de Rusia y su madre fue María Aleksándrovna Uliánova.</t>
  </si>
  <si>
    <t>Lenin era presidente del Consiglio dei commissari del popolo della RSFSR e sua madre era Maria Aleksandrovna Ulyanova.</t>
  </si>
  <si>
    <t>moderate</t>
  </si>
  <si>
    <t>[{"text": "dei commissari", "confidence": 0.306640625, "severity": "critical", "start": 34, "end": 49}, {"text": "SR", "confidence": 0.318603515625, "severity": "minor", "start": 70, "end": 72}, {"text": "ya", "confidence": 0.318603515625, "severity": "minor", "start": 111, "end": 113}]</t>
  </si>
  <si>
    <t>Explanation for error "dei commissari": The term "dei commissari" is a direct translation of "of the Commissars," which is technically correct but lacks the specificity of the original title "Consejo de Comisarios del Pueblo." The original title more accurately reflects the political structure and the specific role of the council in the Russian government. A more precise translation would maintain the original title's specificity to convey the historical and political context more accurately.
Explanation for error "RSF": The abbreviation "RSF" is a minor error as it refers to the Russian Socialist Federative Soviet Republic, which is a specific historical entity. The correct abbreviation should be "RSFSR" to accurately reflect the full name of the republic. This minor error could lead to confusion about the historical context being discussed.
Explanation for error "Ulyanova": The transliteration "Ulyanova" is a minor error in the spelling of Lenin's mother's name. The correct transliteration from Russian to Italian should maintain the original pronunciation as closely as possible. The error here is minor and pertains to the transliteration of a proper noun, which can vary slightly between languages.</t>
  </si>
  <si>
    <t>Lenin fu presidente del Consiglio dei Commissari del Popolo della RSFSR e sua madre era Maria Aleksandrovna Uliánova.</t>
  </si>
  <si>
    <t>PF0P1V</t>
  </si>
  <si>
    <t>Lily Kwan es de sexo femenino y tiene la nacionalidad canadiense. Lo opuesto a femenino es masculino.</t>
  </si>
  <si>
    <t>Lily Kwan è una donna di nazionalità canadese. Il contrario di femmina è maschio.</t>
  </si>
  <si>
    <t>[{"text": "mina", "confidence": 0.31103515625, "severity": "critical", "start": 66, "end": 70}]</t>
  </si>
  <si>
    <t>Explanation for error: The term "femmina" in the translation is a direct translation of "femenino," which is technically correct. However, the use of "femmina" in this context might be seen as too literal or simplistic, lacking the nuance of the English "female" or "feminine" in a more comprehensive or formal context. The translation could be improved by using a term that encompasses both the biological and social aspects of being female, or by rephrasing to better capture the nuance of the original sentence.</t>
  </si>
  <si>
    <t>Lily Kwan è una donna di nazionalità canadese. Il contrario di femminile è maschile.</t>
  </si>
  <si>
    <t>Lily Kwan è di sesso femminile e ha la nazionalità canadese. Il contratio di femminile è maschile.</t>
  </si>
  <si>
    <t>"es de sexo feminino y" è stato omesso e semplificato</t>
  </si>
  <si>
    <t>K0UXOP</t>
  </si>
  <si>
    <t>El Aeropuerto Nacional Ronald Reagan de Washington, situado en el condado de Arlington y perteneciente a a Estados Unidos, está en funcionamiento.</t>
  </si>
  <si>
    <t>L'aeroporto nazionale Ronald Reagan Washington, situato nella contea di Arlington e appartenente agli Stati Uniti, è in funzione.</t>
  </si>
  <si>
    <t>[{"text": "Ronald Reagan Washington", "confidence": 0.318603515625, "severity": "critical", "start": 21, "end": 46}, {"text": "conte", "confidence": 0.31884765625, "severity": "critical", "start": 61, "end": 67}, {"text": "funzione", "confidence": 0.316650390625, "severity": "critical", "start": 119, "end": 128}]</t>
  </si>
  <si>
    <t>Explanation for error "Ronald Reagan Washington": The translation incorrectly combines the name of the airport with the location, making it seem like "Ronald Reagan Washington" is the name of the airport. The correct translation should clearly separate the name of the airport from the location to accurately reflect that the airport is named after Ronald Reagan and is located in Washington, D.C.
Explanation for error "conte": The use of "conte" (county) is not incorrect but could be considered less formal or less precise in this context. The term "contea" is the Italian equivalent of "county," but in formal or official contexts, it might be more appropriate to use a term that specifically refers to administrative divisions, such as "distretto" (district) or "comune" (municipality), depending on the specific administrative structure of the area in question.
Explanation for error "funzione": The word "funzione" translates to "function" or "operation," which is correct in this context. However, the phrase might be slightly awkward or too literal in Italian. A more natural way to express that an airport is operational or in service might be "è attivo" or "è in servizio," which more directly convey the idea of being in operation or service.</t>
  </si>
  <si>
    <t>L'Aeroporto Nazionale Ronald Reagan di Washington, situato nel distretto di Arlington e appartenente agli Stati Uniti, è attivo.</t>
  </si>
  <si>
    <t>L'Aeroporto Nazionale Ronald Reagan di Washington, situato nella contea di Arlington e appartenente agli Stati Uniti, è attivo.</t>
  </si>
  <si>
    <t>"condado" tradotto come "distretto" invece di "contea"</t>
  </si>
  <si>
    <t>UJL9U6</t>
  </si>
  <si>
    <t>Autobuses Unidos tiene su sede en Ciudad de México, que es ciudad hermana de Múrom.</t>
  </si>
  <si>
    <t>Autobuses Unidos ha sede a Città del Messico, città gemellata con Murom.</t>
  </si>
  <si>
    <t>[{"text": "a Città", "confidence": 0.3125, "severity": "critical", "start": 24, "end": 32}, {"text": "Messico", "confidence": 0.3173828125, "severity": "critical", "start": 36, "end": 44}, {"text": "gemella", "confidence": 0.3037109375, "severity": "critical", "start": 51, "end": 59}, {"text": "Murom", "confidence": 0.3154296875, "severity": "minor", "start": 65, "end": 71}]</t>
  </si>
  <si>
    <t>Explanation for error severity: The errors in the Italian translation are critical and involve the incorrect use of capitalization, the incorrect spelling of "Murom," and the incorrect term for "sister city" relationship. The correct term in Italian for "sister city" is "città gemellata," and the name "Murom" should be correctly spelled to reflect the proper noun. Additionally, the capitalization of "Città del Messico" is incorrect as it should be "Città del Messico" to correctly refer to Mexico City. These errors significantly impact the accuracy and professionalism of the translation.</t>
  </si>
  <si>
    <t>3P6ER9</t>
  </si>
  <si>
    <t>Too Much Coffee Man fue creado por Shannon Wheeler, cuya ocupación es historietista.</t>
  </si>
  <si>
    <t>Too Much Coffee Man è stato creato da Shannon Wheeler, che di mestiere fa il vignettista.</t>
  </si>
  <si>
    <t>[{"text": "vignettista", "confidence": 0.313232421875, "severity": "critical", "start": 76, "end": 88}]</t>
  </si>
  <si>
    <t>Explanation for error: The term "vignettista" is a direct translation of "cartoonist" or "comic artist." However, the use of "vignettista" in this context might be seen as too narrow or specific, as it implies a focus on vignettes rather than the broader scope of comics or cartoons. The term "fumettista" would be a more accurate and inclusive term for someone who creates comics or cartoons, encompassing a wider range of work beyond just vignettes.</t>
  </si>
  <si>
    <t>Too Much Coffee Man è stato creato da Shannon Wheeler, il cui mestiere è fumettista.</t>
  </si>
  <si>
    <t>C83OWD</t>
  </si>
  <si>
    <t>La Nazionale di pallacanestro della Comunità degli Stati Indipendenti tiene como deporte el baloncesto.</t>
  </si>
  <si>
    <t>Il basket è lo sport della Nazionale di pallacanestro della Comunità degli Stati Indipendenti.</t>
  </si>
  <si>
    <t>[{"text": "Il basket è lo sport della", "confidence": 0.31396484375, "severity": "critical", "start": 0, "end": 26}]</t>
  </si>
  <si>
    <t>La Nazionale di pallacanestro della Comunità degli Stati Indipendenti ha il basket come sport.</t>
  </si>
  <si>
    <t>RGQWWE</t>
  </si>
  <si>
    <t>"Formirovanie sistem tekhnicheskogo obsluzhivanii a, i samoletov pri ikh sozdanii" es un libro impreso en ruso que tiene como autor a Oleg Derkach.</t>
  </si>
  <si>
    <t>"Formirovanie sistem tekhnicheskogo obsluzhivanii a, i samoletov pri ikh sozdanii" è un libro stampato in russo e scritto da Oleg Derkach.</t>
  </si>
  <si>
    <t>weak</t>
  </si>
  <si>
    <t>[{"text": "che", "confidence": 0.305419921875, "severity": "critical", "start": 27, "end": 30}, {"text": "obslu", "confidence": 0.3115234375, "severity": "critical", "start": 35, "end": 41}, {"text": "vanii a, i samoletov pri", "confidence": 0.32373046875, "severity": "critical", "start": 44, "end": 68}, {"text": "ikh sozdanii", "confidence": 0.3154296875, "severity": "critical", "start": 69, "end": 81}]</t>
  </si>
  <si>
    <t>Explanation for errors: The translation contains several critical errors in the translation of technical terms and names. The term "tekhni&lt;error severity='critical'&gt;che&lt;/error&gt;skogo" is an incomplete translation of "tehnicheskogo," which should be fully translated as "technical." Similarly, "obslu&lt;error severity='critical'&gt;zhi&lt;/error&gt;vanii" is an incomplete translation of "obsluzhivanii," which should be fully translated as "maintenance." The phrase "pri ikh sozdanii" is awkwardly translated and lacks clarity; it should be translated to clearly indicate that it refers to the creation of aircraft. The phrase "ikh sozdanii" is also incomplete and should be translated to convey the meaning of "creation" or "design" in the context of aircraft. The translation fails to accurately convey the technical and specific nature of the content, leading to confusion and a lack of clarity.</t>
  </si>
  <si>
    <t>"Formirovanie sistem tehnicheskogo obsluzhivanija aviacionnyh i samoletov pri их создании" is a book printed in Russian and authored by Oleg Derkach.</t>
  </si>
  <si>
    <t>"Formirovanie sistem tekhnicheskogo obsluzhivanii a, i samoletov pri ikh sozdanii" è un libro stampato in russo che ha come autore Oleg Derkach.</t>
  </si>
  <si>
    <t>Untranslated (1): tutto il testo è stato tradotto in inglese invece che in italiano, errore completo di lingua target; Unintelligible (1): per il contesto italiano, la traduzione è completamente inutilizzabile</t>
  </si>
  <si>
    <t>YCCLQ1</t>
  </si>
  <si>
    <t>La Selección de fútbol de la Isla de Navidad tiene como deporte el fútbol, deporte el cual está nombrado en referencia a «patada».</t>
  </si>
  <si>
    <t>Lo sport della squadra di calcio dell'Isola di Natale è il calcio, che prende il nome dalla parola "kick" (calcio).</t>
  </si>
  <si>
    <t>[{"text": "Natale", "confidence": 0.280029296875, "severity": "critical", "start": 46, "end": 53}, {"text": "calcio", "confidence": 0.282958984375, "severity": "critical", "start": 58, "end": 65}, {"text": "\"kick\"", "confidence": 0.296875, "severity": "critical", "start": 98, "end": 105}, {"text": "calcio", "confidence": 0.30810546875, "severity": "major", "start": 107, "end": 113}]</t>
  </si>
  <si>
    <t>Explanation for error severity: The translation of "Isola di Natale" as "Christmas Island" is incorrect. The correct name of the island in question is "Christmas Island," not "Isola di Natale." This is a critical error because it misidentifies a geographical location, which could lead to confusion about the context of the sentence. Additionally, the translation of "calcio" as "kick" is a major error because it inaccurately conveys the meaning of the word "calcio" in this context. "Calcio" refers to the sport of football (soccer), not the act of kicking. The repeated use of "calcio" to translate "football" is also a critical error, as it fails to differentiate between the sport and the act of kicking. The translation also incorrectly uses quotation marks around "kick," which is not standard practice in Italian for this context.</t>
  </si>
  <si>
    <t>La selezione di calcio dell'Isola di Natale ha come sport il calcio, che prende il nome dalla parola "calcio" (calcio).</t>
  </si>
  <si>
    <t>La selezione di calcio dell'Isola di Natale ha come sport il calcio, che prende il nome dalla parola "calcio" (inteso come colpo di piede).</t>
  </si>
  <si>
    <t>La costruzione con la parola ripetuta tra parentes "che prende il nome dalla parola "calcio" (calcio)" è ridondante e confusa, non rende chiaro il riferimento al calcio come azione fisica ("patada")</t>
  </si>
  <si>
    <t>GCHYVN</t>
  </si>
  <si>
    <t>Johann Reif falleció en Kritzendorf y fue miembro del Partido Socialdemócrata de Austria. Kritzendorf se encuentra en el huso UTC+02:00 y está situado en la entidad territorial administrativa Klosterneuburg. El país del Partido Socialdemócrata de Austria es Austria.</t>
  </si>
  <si>
    <t>Johann Reif è morto a Kritzendorf ed è stato membro del Partito Socialdemocratico Austriaco. Kritzendorf si trova nel fuso orario UTC+02:00 ed è nel distretto amministrativo di Klosterneuburg. Il Paese del Partito Socialdemocratico Austriaco è l'Austria.</t>
  </si>
  <si>
    <t>[{"text": "co", "confidence": 0.302734375, "severity": "critical", "start": 239, "end": 241}, {"text": "l", "confidence": 0.303466796875, "severity": "critical", "start": 243, "end": 245}, {"text": "Austria", "confidence": 0.3037109375, "severity": "critical", "start": 246, "end": 253}]</t>
  </si>
  <si>
    <t>Explanation for error: The critical errors in the Italian translation are the omission of the word "Austria" after "Socialdemocratico Austriaco" and the incorrect use of "Austria" instead of "Austria" in the phrase "Il Paese del Partito Socialdemocratico Austria&lt;error severity='critical'&gt;co&lt;/error&gt; è." This results in a grammatical and contextual mistake, as it fails to specify the country associated with the Social Democratic Party of Austria. The correct translation should clearly indicate that Austria is the country of the Social Democratic Party of Austria to avoid confusion and ensure the sentence is grammatically and contextually correct.</t>
  </si>
  <si>
    <t>E96SK2</t>
  </si>
  <si>
    <t>El Aeropuerto de Estrasburgo está en Francia, está nombrado en referencia a Estrasburgo y se encuentra en el huso horario Europe/Paris.</t>
  </si>
  <si>
    <t>L'aeroporto di Strasburgo si trova in Francia, prende il nome da Strasburgo e rientra nel fuso orario Europa/Parigi.</t>
  </si>
  <si>
    <t>[{"text": "igi", "confidence": 0.312744140625, "severity": "critical", "start": 112, "end": 115}]</t>
  </si>
  <si>
    <t>Explanation for error: The error in the translation is the incorrect spelling of "Paris" as "Parigi." This is a critical error because it involves the incorrect spelling of a proper noun, which is the capital city of France. Proper nouns, especially names of cities, should always be accurately translated to maintain the integrity of the information being conveyed.</t>
  </si>
  <si>
    <t>0HFXPQ</t>
  </si>
  <si>
    <t>El Palacio de Ibarra fue diseñado por Gaspar de la Peña, quien nació en Burgos y falleció en Madrid.</t>
  </si>
  <si>
    <t>Il Palacio de Ibarra fu progettato da Gaspar de la Peña, nato a Burgos e morto a Madrid.</t>
  </si>
  <si>
    <t>[{"text": "Il", "confidence": 0.315185546875, "severity": "critical", "start": 0, "end": 2}, {"text": "progettato da", "confidence": 0.318603515625, "severity": "critical", "start": 23, "end": 37}]</t>
  </si>
  <si>
    <t>Explanation for error severity: The use of "Il" at the beginning of the sentence is not an error in itself as it is the definite article in Italian, equivalent to "The" in English. However, the analysis might be pointing towards the lack of a space after "Il," which is a typographical error rather than a translation error. The second error marked is "progettato da," which is the correct translation for "was designed by." The issue here might be the lack of a space after "progettato," which is a minor typographical error rather than a translation error. The translation quality score being moderate suggests that while there are minor issues, the overall translation is still of good quality.</t>
  </si>
  <si>
    <t>CYRKK9</t>
  </si>
  <si>
    <t>El Pato Donald tiene como padre a Donald Duck.</t>
  </si>
  <si>
    <t>Il padre di Paperino è Paperino.</t>
  </si>
  <si>
    <t>[{"text": "di Paperino è Paperino", "confidence": 0.3798828125, "severity": "major", "start": 8, "end": 31}]</t>
  </si>
  <si>
    <t>Explanation for error: The phrase "Il padre di Paperino è Paperino" directly translates to "Paperino's father is Paperino," which is a significant error because it repeats the name "Paperino" unnecessarily and incorrectly states that Paperino is his own father. The original Spanish sentence "El Pato Donald tiene como padre a Donald Duck" correctly identifies Donald Duck as Paperino's father. The error in the translation introduces confusion and misrepresents the familial relationship between the characters.</t>
  </si>
  <si>
    <t>Paperino ha Donald Duck come padre.</t>
  </si>
  <si>
    <t>Paperino ha Paperino come padre.</t>
  </si>
  <si>
    <t>In italiano si utilizza "Paperino", non "Donald Duck"</t>
  </si>
  <si>
    <t>NU3FO2</t>
  </si>
  <si>
    <t>Jorge David Romero Ríos es deportista y de nacionalidad colombiana. El jefe de Estado de Colombia es Gustavo Petro. La ocupación «deportista» tiene como ámbito el deporte femenino y está representada por «An Athlete Wrestling with a Python».</t>
  </si>
  <si>
    <t>Jorge David Romero Ríos è uno sportivo e un cittadino colombiano. Il capo di Stato della Colombia è Gustavo Petro. L'occupazione "Atleta" è nel campo dello sport femminile ed è rappresentata da "Un'atleta che lotta con un pitone".</t>
  </si>
  <si>
    <t>[{"text": "L", "confidence": 0.303955078125, "severity": "critical", "start": 114, "end": 116}, {"text": "occupazione \"Atleta", "confidence": 0.322998046875, "severity": "critical", "start": 117, "end": 136}, {"text": "è nel", "confidence": 0.30810546875, "severity": "critical", "start": 137, "end": 143}, {"text": "femminile", "confidence": 0.305419921875, "severity": "critical", "start": 161, "end": 171}, {"text": "\"Un'atleta che lotta con", "confidence": 0.30322265625, "severity": "critical", "start": 193, "end": 218}, {"text": "pitone", "confidence": 0.30615234375, "severity": "critical", "start": 221, "end": 228}]</t>
  </si>
  <si>
    <t>Explanation for errors: The translation contains several critical errors that significantly impact the accuracy and clarity of the information being conveyed. Firstly, the phrase "L'occupazione 'Atleta'" is awkwardly placed and incorrectly structured, leading to confusion about the meaning. The correct structure should clearly indicate that "Atleta" is the occupation of Jorge David Romero Ríos. Secondly, "è nel campo dello sport femminile" incorrectly suggests that the occupation of "Atleta" is limited to the female gender, which is not the case in the original Spanish text. The original text simply states that the occupation "deportista" (athlete) is represented by a specific work of art, not that it is limited to female athletes. Lastly, "Un'atleta che lotta con un pitone" is a mistranslation of the work of art "An Athlete Wrestling with a Python," which loses the specificity and metaphorical meaning of the original title. The translation fails to convey that the work of art is a representation of an athlete overcoming challenges, not a literal depiction of a woman wrestling with a snake.</t>
  </si>
  <si>
    <t>Jorge David Romero Ríos è un atleta e cittadino colombiano. Il capo di Stato della Colombia è Gustavo Petro. L'occupazione "Atleta" è rappresentata dall'opera "Un atleta che lotta con un pitone".</t>
  </si>
  <si>
    <t>Jorge David Romero Ríos è un atleta e cittadino colombiano. Il capo di Stato della Colombia è Gustavo Petro. L'occupazione "atleta" ha come ambito lo sport femminile ed è rappresentata dall'opera "Un atleta che lotta con un pitone".</t>
  </si>
  <si>
    <t>La parte "tiene como ámbito el deporte femenino" è omessa completamente</t>
  </si>
  <si>
    <t>S9S9WA</t>
  </si>
  <si>
    <t>Akure Motor Park tiene como inversionista a una organización y está en Nigeria.</t>
  </si>
  <si>
    <t>L'Akure Motor Park ha un'organizzazione come investitore e si trova in Nigeria.</t>
  </si>
  <si>
    <t>[{"text": "L", "confidence": 0.30859375, "severity": "critical", "start": 0, "end": 1}, {"text": "Akure Motor Park", "confidence": 0.30712890625, "severity": "minor", "start": 2, "end": 18}, {"text": "un'organizzazione come investitore", "confidence": 0.3095703125, "severity": "critical", "start": 21, "end": 56}]</t>
  </si>
  <si>
    <t>Explanation for error severity: "L'Akure Motor Park" - The use of the definite article "L'" before "Akure Motor Park" is incorrect in this context. In Italian, the name of a place or a specific entity like a park does not require the definite article unless it is part of a specific title or name that is well-known to the audience. The correct approach would be to use the name without the article to maintain the integrity of the name as provided in the source text.
Explanation for error severity: "un'organizzazione come investitore" - The phrase "un'organizzazione come investitore" is awkward and grammatically incorrect in Italian. The correct expression should clearly indicate that the organization is an investor in the park, not that the organization is "like an investor." The preposition "come" (like) is not the most appropriate choice for this context, and the sentence structure needs to be adjusted for clarity and grammatical accuracy.</t>
  </si>
  <si>
    <t>Akure Motor Park ha un'organizzazione come investitore e si trova in Nigeria.</t>
  </si>
  <si>
    <t>J1XZ8F</t>
  </si>
  <si>
    <t>Nacido en Derry, Alan Bartlett Shepard ocupó el cargo de Jefe de la Oficina de Astronautas. Su cónyuge es Louise Brewer Shepard.</t>
  </si>
  <si>
    <t>Nato a Derry, Alan Bartlett Shepard è stato capo dell'Ufficio astronauti. Il suo coniuge è Louise Brewer Shepard.</t>
  </si>
  <si>
    <t>[{"text": "stato capo dell", "confidence": 0.306640625, "severity": "critical", "start": 37, "end": 53}, {"text": "Ufficio astronauti", "confidence": 0.3203125, "severity": "critical", "start": 54, "end": 72}]</t>
  </si>
  <si>
    <t>Explanation for error: The phrase "è stato capo dell'Ufficio astronauti" contains a critical error in the translation of the title "Chief of the Astronaut Office." The correct translation should maintain the formal and specific title of the position, which is "Chief of the Astronaut Office," not just "capo dell'Ufficio astronauti." The use of "è stato" (was) instead of "è" (is) also introduces a temporal inaccuracy, as the original text does not specify a past tense but rather presents a factual statement about Shepard's position. Additionally, the translation does not capture the specificity of the name "Alan Bartlett Shepard," which should be fully translated to maintain the proper name's integrity.</t>
  </si>
  <si>
    <t>Nato a Derry, Alan Bartlett Shepard è il Capo dell'Ufficio degli Astronauti. Sua moglie è Louise Brewer Shepard.</t>
  </si>
  <si>
    <t>Nato a Derry, Alan Bartlett Shepard è stato Capo dell'Ufficio degli Astronauti. Sua moglie è Louise Brewer Shepard.</t>
  </si>
  <si>
    <t>Errore nella traduzione del tempo verbale, "ocupò" è passato</t>
  </si>
  <si>
    <t>MU7DM1</t>
  </si>
  <si>
    <t>Florus Solatium trabaja en el campo del jamón, está situado en la entidad territorial administrativa de Saint-Flour y cuenta con la certificación de indicación geográfica protegida.</t>
  </si>
  <si>
    <t>Florus Solatium opera nel settore del prosciutto, si trova nel territorio amministrativo di Saint-Flour ed è certificato come Indicazione Geografica Protetta.</t>
  </si>
  <si>
    <t>[{"text": "prosciu", "confidence": 0.30810546875, "severity": "critical", "start": 37, "end": 45}]</t>
  </si>
  <si>
    <t>Explanation for error: The term "prosciu" in the translation is a misspelling of "prosciutto," which is the Italian word for "ham." This error is critical because it directly affects the accuracy of the translation by misrepresenting the product being discussed. The correct spelling is crucial for clarity and to ensure that the reader understands the specific type of ham being referred to.</t>
  </si>
  <si>
    <t>Florus Solatium opera nel settore del prosciutto, si trova nell'entità territoriale amministrativa di Saint-Flour ed è certificato come Indicazione Geografica Protetta.</t>
  </si>
  <si>
    <t>"entidad" è omesso</t>
  </si>
  <si>
    <t>H0N8XX</t>
  </si>
  <si>
    <t>Pyongyang University of Foreign Studies está situada en la entidad territorial administrativa Pionyang.</t>
  </si>
  <si>
    <t>L'Università di studi esteri di Pyongyang si trova nell'entità territoriale amministrativa di Pionyang.</t>
  </si>
  <si>
    <t>[{"text": "Università di studi esteri", "confidence": 0.3115234375, "severity": "critical", "start": 2, "end": 28}]</t>
  </si>
  <si>
    <t>Explanation for error: The phrase "L'Università di studi esteri" is a direct translation of "Pyongyang University of Foreign Studies," but it inaccurately conveys the name of the institution. The term "di studi esteri" translates to "of foreign studies," which is not the official name of the university. The correct translation should maintain the original name without adding unnecessary descriptors that could mislead or confuse readers about the institution's identity.</t>
  </si>
  <si>
    <t>L'Università di Pyongyang per gli Studi Esteri si trova nell'entità territoriale amministrativa di Pionyang.</t>
  </si>
  <si>
    <t>K6X5HK</t>
  </si>
  <si>
    <t>AEG Mignon fue fabricado por AEG y tiene obras en la colección del Stadsmuseum Harderwijk. AEG sucedió a Gesellschaft für elektrische Unternehmungen y está en Alemania.</t>
  </si>
  <si>
    <t>L'AEG Mignon è stato prodotto da AEG e si trova nella collezione dello Stadsmuseum Harderwijk. AEG è il nome della Gesellschaft für elektrische Unternehmungen con sede in Germania.</t>
  </si>
  <si>
    <t>[{"text": "L", "confidence": 0.30712890625, "severity": "critical", "start": 0, "end": 1}, {"text": "A", "confidence": 0.302490234375, "severity": "critical", "start": 2, "end": 3}, {"text": "EG è", "confidence": 0.3056640625, "severity": "critical", "start": 96, "end": 100}, {"text": "nome", "confidence": 0.313720703125, "severity": "critical", "start": 103, "end": 108}]</t>
  </si>
  <si>
    <t>Explanation for error: The critical errors in the Italian translation are the incorrect use of capitalization and the misinterpretation of the relationship between AEG and the Gesellschaft für elektrische Unternehmungen (G.E.U.). The original Spanish text clearly states that AEG Mignon was manufactured by AEG, which is a company that succeeded the G.E.U. The translation incorrectly suggests that AEG is the name of the G.E.U., which misrepresents the historical and corporate context. Additionally, the translation fails to convey that AEG Mignon is part of the Stadsmuseum Harderwijk's collection, which is a significant detail.</t>
  </si>
  <si>
    <t>L'AEG Mignon è stato prodotto dalla AEG e fa parte della collezione dello Stadsmuseum Harderwijk. AEG è la società che ha preso il posto della Gesellschaft für elektrische Unternehmungen e ha sede in Germania.</t>
  </si>
  <si>
    <t>L'AEG Mignon è stato prodotto dalla AEG e ha delle opere nella collezione dello Stadsmuseum Harderwijk. AEG è succeduta alla Gesellschaft für elektrische Unternehmungen e ha sede in Germania.</t>
  </si>
  <si>
    <t>"società" non c'è nel testo spagnolo</t>
  </si>
  <si>
    <t>H62U25</t>
  </si>
  <si>
    <t>Melita Airport está situado en Manitoba, Canadá. El jefe de Estado de Manitoba es Carlos III del Reino Unido.</t>
  </si>
  <si>
    <t>L'aeroporto di Melita si trova in Manitoba, Canada. Il capo di Stato del Manitoba è Carlo III del Regno Unito.</t>
  </si>
  <si>
    <t>[{"text": "del", "confidence": 0.311279296875, "severity": "critical", "start": 68, "end": 72}, {"text": "ba", "confidence": 0.31103515625, "severity": "critical", "start": 79, "end": 81}]</t>
  </si>
  <si>
    <t>Explanation for error: The critical errors in the translation are the incorrect use of "del" before "Manitoba" and the misspelling of "Manitoba" as "Manito." These errors significantly impact the accuracy of the translation by misidentifying the location and the name of the Canadian province. The correct translation should maintain the proper noun "Manitoba" as it is the name of a specific place, and the preposition "del" should be used to indicate "of" in the context of "the head of state of Manitoba."</t>
  </si>
  <si>
    <t>L'aeroporto di Melita si trova in Manitoba, Canada. Il capo di Stato di Manitoba è Carlo III del Regno Unito.</t>
  </si>
  <si>
    <t>FGGEJ4</t>
  </si>
  <si>
    <t>Victoria’s Secret Fashion Show está ambientado durante la temporada de vacaciones de Navidad y cuenta con la participación de las Victoria’s Secret Angels.</t>
  </si>
  <si>
    <t>Il Victoria's Secret Fashion Show si svolge durante le festività natalizie e vede la partecipazione degli Angeli di Victoria's Secret.</t>
  </si>
  <si>
    <t>[{"text": "Angeli", "confidence": 0.307373046875, "severity": "critical", "start": 105, "end": 112}]</t>
  </si>
  <si>
    <t>Explanation for error: The term "Angeli" is a direct translation of "Angels," which is correct in the context of Victoria's Secret. However, the error is marked as critical, which suggests that there might be a misunderstanding or a more nuanced issue at play. The term "Angeli" is correctly used to refer to the models associated with Victoria's Secret, known as "Angels." The critical error marking might be due to a lack of clarification or specificity in the translation, such as not emphasizing the special status or role of these models within the fashion show.</t>
  </si>
  <si>
    <t>Il Victoria's Secret Fashion Show si svolge durante le festività natalizie e vede la partecipazione delle modelle Victoria's Secret, conosciute come gli Angeli di Victoria's Secret.</t>
  </si>
  <si>
    <t>"modelle Victoria's Secret, conosciute come gli Angeli di Victoria's Secret." è un'aggiunta non presente nel testo spagnolo</t>
  </si>
  <si>
    <t>GK0AK6</t>
  </si>
  <si>
    <t>Alejandro Muñoz Pulpón es deportista y de nacionalidad española. España, ubiicado en Europa, tiene como jefe de gobierno a Pedro Sánchez, como jefe de Estado a Felipe VI de España. La ocupación «deportista» está representada por «An Athlete Wrestling with a Python».</t>
  </si>
  <si>
    <t>Alejandro Muñoz Pulpón è uno sportivo e un cittadino spagnolo. La Spagna, situata in Europa, ha come capo del governo Pedro Sánchez e come capo di Stato Felipe VI di Spagna. L'occupazione "sportivo" è rappresentata da "Un atleta che lotta con un pitone".</t>
  </si>
  <si>
    <t>[{"text": "ha come capo", "confidence": 0.30810546875, "severity": "critical", "start": 92, "end": 105}, {"text": "governo Pedro", "confidence": 0.30615234375, "severity": "critical", "start": 109, "end": 123}, {"text": "e come capo", "confidence": 0.30859375, "severity": "critical", "start": 131, "end": 143}, {"text": "Stato Felipe", "confidence": 0.3046875, "severity": "critical", "start": 146, "end": 159}, {"text": "di", "confidence": 0.30517578125, "severity": "critical", "start": 162, "end": 165}, {"text": "gna", "confidence": 0.30224609375, "severity": "critical", "start": 169, "end": 172}, {"text": "occupazione \"sportivo", "confidence": 0.31396484375, "severity": "critical", "start": 176, "end": 197}, {"text": "\"Un atleta che lotta", "confidence": 0.302978515625, "severity": "critical", "start": 217, "end": 238}, {"text": "pitone", "confidence": 0.302734375, "severity": "critical", "start": 245, "end": 252}]</t>
  </si>
  <si>
    <t>Explanation for errors: The translation contains several critical errors that significantly impact the clarity and accuracy of the information being conveyed. The phrase "ha come capo del governo Pedro Sánchez" is awkwardly structured and lacks the necessary preposition to link "governo" (government) with "Pedro Sánchez," making it unclear that Pedro Sánchez is the head of government. Similarly, "e come capo di Stato Felipe VI di Spagna" is grammatically incorrect and confusing, as it incorrectly suggests that Felipe VI is the head of state of Spain, rather than Spain having Felipe VI as its head of state. The phrase "L'occupazione'sportivo' è rappresentata da 'Un atleta che lotta con un pitone'" is a mistranslation of the original Spanish, which refers to the occupation "deportista" being represented by "An Athlete Wrestling with a Python." The translation fails to convey the metaphorical representation of the occupation and instead directly translates the words without understanding the context or the metaphorical meaning.</t>
  </si>
  <si>
    <t>Alejandro Muñoz Pulpón è un atleta e cittadino spagnolo. La Spagna, situata in Europa, ha Pedro Sánchez come capo del governo e Felipe VI di Spagna come capo di Stato. L'occupazione "deportista" è rappresentata dalla frase "Un atleta che lotta con un pitone".</t>
  </si>
  <si>
    <t>49KTJI</t>
  </si>
  <si>
    <t>Bear Monument está en Alemania.</t>
  </si>
  <si>
    <t>Il monumento all'orso si trova in Germania.</t>
  </si>
  <si>
    <t>[{"text": "monumento all'orso", "confidence": 0.335693359375, "severity": "critical", "start": 2, "end": 21}]</t>
  </si>
  <si>
    <t>Explanation for error: The phrase "Il monumento all'orso" directly translates to "The bear monument," which is a literal translation of the source text. However, the original Spanish phrase "Bear Monument" is likely a proper noun referring to a specific place or monument known as "Bear Monument" in English. The translation fails to convey that it is a proper noun, potentially leading to confusion about whether it refers to a specific monument or a general concept. Additionally, the translation does not capture the fact that "Bear Monument" is in Germany, which is crucial information.</t>
  </si>
  <si>
    <t>Il Monumento all'Orso si trova in Germania.</t>
  </si>
  <si>
    <t>O6RKWV</t>
  </si>
  <si>
    <t>Alois Pupp es de nacionalidad italiana, falleció en Bresanona y ocupó el cargo de presidente del Tirol del Sur.</t>
  </si>
  <si>
    <t>Alois Pupp, di nazionalità italiana, è morto a Bresanona ed è stato Presidente dell'Alto Adige.</t>
  </si>
  <si>
    <t>[{"text": "Presidente dell", "confidence": 0.4921875, "severity": "critical", "start": 67, "end": 83}, {"text": "Alto Adige", "confidence": 0.56640625, "severity": "critical", "start": 84, "end": 94}]</t>
  </si>
  <si>
    <t>Explanation for error: The phrase "Presidente dell" is incomplete and lacks the word "Sud," which is crucial for accurately translating the position "president of South Tyrol." Additionally, "Alto Adige" is a correct translation for "South Tyrol," but without specifying "South," it fails to convey the full geographical and political context of the original sentence. The omission of "South" significantly alters the meaning, as it refers to a specific region within Italy with a distinct cultural and political identity.</t>
  </si>
  <si>
    <t>Alois Pupp, di nazionalità italiana, è morto a Bresanona ed è stato presidente del Sud Tirolo.</t>
  </si>
  <si>
    <t>Alois Pupp, di nazionalità italiana, è morto a Bressanone ed è stato presidente del Sudtirolo.</t>
  </si>
  <si>
    <t>Il nome "Bresanona" non è stato tradotto in italiano</t>
  </si>
  <si>
    <t>M5T4JD</t>
  </si>
  <si>
    <t>Kawkaban está situado en la entidad territorial administrativa Gobernación de ’Amran y se encuentra en el huso horario UTC+03:00.</t>
  </si>
  <si>
    <t>Kawkaban si trova nell'entità territoriale amministrativa 'Governatorato di Amran e con fuso orario UTC+03:00.</t>
  </si>
  <si>
    <t>[{"text": "wka", "confidence": 0.2978515625, "severity": "critical", "start": 2, "end": 5}, {"text": "nell'entità", "confidence": 0.303466796875, "severity": "critical", "start": 17, "end": 29}, {"text": "e amministrativa 'Governatorato di Amran e con", "confidence": 0.31103515625, "severity": "minor", "start": 41, "end": 87}, {"text": "fuso", "confidence": 0.305908203125, "severity": "minor", "start": 88, "end": 92}]</t>
  </si>
  <si>
    <t>Explanation for error "Kawkaban": The error in "Kawkaban" is a typographical mistake where the "w" is split into "Ka" and "wka," which disrupts the readability and understanding of the name. Proper names, especially place names, should be accurately transcribed to maintain the integrity of the information.
Explanation for error "nell'entità": The term "nell'entità" is a direct translation of "in the entity," which, while not incorrect, is a bit awkward and not the most natural way to express this idea in Italian. A more idiomatic expression would be "nella circoscrizione territoriale amministrativa," which more accurately conveys the meaning of "territorial administrative entity."
Explanation for error "'Governatorato di Amran e con": The phrase "e con" is awkwardly placed and makes the sentence structure confusing. The correct structure in Italian should clearly separate the location from the time zone, ensuring the sentence flows smoothly and is grammatically correct.
Explanation for error "fuso": The term "fuso" is a direct translation of "fuso horario," which is correct. However, the analysis might suggest that the term could be better integrated into the sentence for clarity and readability.</t>
  </si>
  <si>
    <t>Kawkaban si trova nella circoscrizione territoriale amministrativa di 'Amran e si trova nel fuso orario UTC+03:00.</t>
  </si>
  <si>
    <t>Kawkaban si trova nell'entità territoriale amministrativa del Governatorato di 'Amran e si trova nel fuso orario UTC+03:00.</t>
  </si>
  <si>
    <t xml:space="preserve">"entidad" dovrebbe rimanere entità in questo caso; "Gobernación" (Governatorato) è omesso </t>
  </si>
  <si>
    <t>Z1MX8W</t>
  </si>
  <si>
    <t>Bender está en turco y usa el alfabeto latino.</t>
  </si>
  <si>
    <t>Bender è in turco e utilizza l'alfabeto latino.</t>
  </si>
  <si>
    <t>[{"text": "der è in", "confidence": 0.3095703125, "severity": "critical", "start": 3, "end": 11}]</t>
  </si>
  <si>
    <t>Explanation for error: The phrase "Ben&lt;error severity='critical'&gt;der è in&lt;/error&gt;" is a critical error because it incorrectly translates the name "Bender" as if it were a verb or a phrase in Italian, which is not the case. The correct approach would be to maintain the proper noun "Bender" as it is, without attempting to translate or conjugate it, especially since it seems to be a proper noun referring to a place or a concept rather than a person's name. The use of "è in" (is in) is also incorrect because it suggests a location, which is not the intended meaning. The sentence aims to convey that Bender, as a place or concept, uses the Latin alphabet, not that it is located in Turkey.</t>
  </si>
  <si>
    <t>Bender utilizza l'alfabeto latino.</t>
  </si>
  <si>
    <t>OBDPOD</t>
  </si>
  <si>
    <t>Daniël Termont es de sexo masculino y ocupó el cargo de alcalde de Gante.</t>
  </si>
  <si>
    <t>Daniël Termont è un uomo ed è stato sindaco di Gand.</t>
  </si>
  <si>
    <t>[{"text": "un uomo", "confidence": 0.308349609375, "severity": "critical", "start": 16, "end": 24}, {"text": "è stato sindaco di Gand", "confidence": 0.314208984375, "severity": "critical", "start": 27, "end": 51}]</t>
  </si>
  <si>
    <t>Explanation for error: The phrase "è un uomo" directly translates to "is a man," which is a literal and overly simplistic translation of "es de sexo masculino." This translation fails to capture the nuance of the original sentence, which states Daniël Termont's gender as part of his biographical information. Additionally, "è stato sindaco di Gand" translates to "was the mayor of Ghent," which is correct but lacks the present perfect tense used in the source text to indicate a completed action in the past that has relevance to the present. The translation does not fully convey the continuous aspect of holding the position of mayor, which is implied in the original Spanish sentence.</t>
  </si>
  <si>
    <t>Daniël Termont è di sesso maschile ed è stato sindaco di Gand.</t>
  </si>
  <si>
    <t>SZ3193</t>
  </si>
  <si>
    <t>La Selección femenina de rugby playa de Brasil pertenece a Brasil, cuyo jefe de gobierno es Luiz Inácio Lula da Silva.</t>
  </si>
  <si>
    <t>La squadra brasiliana di beach rugby femminile appartiene al Brasile, il cui capo del governo è Luiz Inácio Lula da Silva.</t>
  </si>
  <si>
    <t>[{"text": "beach rugby", "confidence": 0.315673828125, "severity": "minor", "start": 24, "end": 36}, {"text": "Brasile", "confidence": 0.3212890625, "severity": "critical", "start": 60, "end": 68}, {"text": "capo del", "confidence": 0.305419921875, "severity": "critical", "start": 76, "end": 85}]</t>
  </si>
  <si>
    <t>Explanation for error "beach rugby": The term "beach rugby" is correctly translated, but the analysis might suggest that the translation could be more specific or detailed to reflect the sport's full name in Italian, if one exists, to enhance clarity. However, in the context of the source text, "beach rugby" is appropriately translated and does not constitute an error.
Explanation for error "Brasile": The term "Brasile" is a direct translation of "Brasil," which is the Italian name for Brazil. The error marking might suggest a misunderstanding or a formatting issue, as "Brasile" is the correct Italian term for "Brazil." This is not an error in translation.
Explanation for error "capo del governo": The phrase "capo del governo" translates to "head of government," which is a correct translation of "chef de gouvernement." The error marking might be due to a preference for a more specific term or a different phrasing in Italian to describe the role of the head of government. However, "capo del governo" is a correct and widely understood term in Italian.</t>
  </si>
  <si>
    <t>La squadra femminile di rugby da spiaggia del Brasile appartiene al Brasile, il cui capo del governo è Luiz Inácio Lula da Silva.</t>
  </si>
  <si>
    <t>DPMAS2</t>
  </si>
  <si>
    <t>La Universidad Libre de Bruselas (flamenca) tiene como color oficial el naranja y está en Bélgica.</t>
  </si>
  <si>
    <t>Il colore ufficiale della Libera Università di Bruxelles (fiamminga) è l'arancione e si trova in Belgio.</t>
  </si>
  <si>
    <t>[{"text": "Libera", "confidence": 0.30517578125, "severity": "critical", "start": 25, "end": 32}, {"text": "Università", "confidence": 0.30517578125, "severity": "minor", "start": 33, "end": 43}, {"text": "fiamminga", "confidence": 0.313232421875, "severity": "critical", "start": 58, "end": 67}]</t>
  </si>
  <si>
    <t>Explanation for error "Libera": The term "Libera" is a direct translation of "Libre" from the source text. However, in this context, "Libre" refers to the name of the university, "Université Libre de Bruxelles," which is a proper noun and should not be translated. The correct approach would be to keep the original name "Université Libre de Bruxelles" to maintain the proper noun status and ensure clarity and accuracy.
Explanation for error "Università": The term "Università" is the Italian word for "university." While not incorrect, the use of "Università" in this context is somewhat redundant since "Université" is already used in the source text. The original French name "Université Libre de Bruxelles" is used in Italian as "Université Libre de Bruxelles," and there's no need to translate it again to "Università." This redundancy could potentially confuse readers or listeners unfamiliar with the context.
Explanation for error "fiamminga": The term "fiamminga" is a transliteration of "Flemish" from the source text. However, the use of "fiamminga" in Italian might not be immediately clear to all readers, as it's a direct transliteration from the French "flamand." A more accessible translation could involve using a term that clearly indicates the language or region, such as "fiammingo" (Flemish) or "fiamminga" (Flemish), to ensure clarity and understanding.</t>
  </si>
  <si>
    <t>L'Université Libre de Bruxelles (fiamminga) ha come colore ufficiale l'arancione e si trova in Belgio.</t>
  </si>
  <si>
    <t>7GSO11</t>
  </si>
  <si>
    <t>Techeetah Formula E Team pertenece a la República Popular China y tiene como deporte la Fórmula (automovilismo).</t>
  </si>
  <si>
    <t>Il Techeetah Formula E Team appartiene alla Repubblica Popolare Cinese e il suo sport è la Formula (automobilismo).</t>
  </si>
  <si>
    <t>[{"text": "Formula", "confidence": 0.3076171875, "severity": "critical", "start": 90, "end": 98}]</t>
  </si>
  <si>
    <t>Explanation for error: The term "Formula" in the translation is left untranslated and presented as a standalone word, which might confuse readers unfamiliar with the context. In Italian, as in many languages, it's important to translate or at least adapt terms to ensure clarity and understanding. The term "Formula" in this context refers to the sport of Formula E, which is a specific type of motorsport. The translation should reflect the full name of the sport to avoid confusion and provide accurate information.</t>
  </si>
  <si>
    <t>Il Techeetah Formula E Team appartiene alla Repubblica Popolare Cinese e il suo sport è l'automobilismo di Formula E.</t>
  </si>
  <si>
    <t>"Fórmula (automovilismo)" viene modificato in "automobilismo di Formula E"</t>
  </si>
  <si>
    <t>X8INDG</t>
  </si>
  <si>
    <t>El Monumento a Wikipedia pertenece al género desnudo y tuvo como comitente a Collegium Polonicum.</t>
  </si>
  <si>
    <t>Il monumento di Wikipedia appartiene al genere del nudo ed è stato commissionato dal Collegium Polonicum.</t>
  </si>
  <si>
    <t>[{"text": "monumento di Wikipedia", "confidence": 0.310546875, "severity": "critical", "start": 2, "end": 25}, {"text": "genere del nudo", "confidence": 0.33984375, "severity": "critical", "start": 39, "end": 55}]</t>
  </si>
  <si>
    <t>Il monumento a Wikipedia appartiene al genere della scultura nuda ed è stato commissionato dal Collegium Polonicum.</t>
  </si>
  <si>
    <t>QHLXRO</t>
  </si>
  <si>
    <t>El Edificio Altino Arantes se usa como oficina y es propiedad de Grupo Santander.</t>
  </si>
  <si>
    <t>L'edificio Altino Arantes è utilizzato come ufficio ed è di proprietà del Grupo Santander.</t>
  </si>
  <si>
    <t>[{"text": "edificio Al", "confidence": 0.309814453125, "severity": "critical", "start": 2, "end": 13}, {"text": "ufficio", "confidence": 0.307373046875, "severity": "critical", "start": 44, "end": 51}]</t>
  </si>
  <si>
    <t>Explanation for error1: The omission of the letter "t" in "Altino" is a critical error as it inaccurately represents the name of the building. Proper names, especially those of significant places or structures, should be transliterated accurately to maintain their integrity and recognition.
Explanation for error2: The term "ufficio" is a direct translation of "office." However, the context of the sentence suggests that the building serves as an office space, not that it is an office. The use of "ufficio" in this context might be misleading, as it could imply that the building is an office rather than housing offices. A more accurate translation would clarify that the building is used for office purposes.</t>
  </si>
  <si>
    <t>L'Edificio Altino Arantes è utilizzato come sede per uffici ed è di proprietà del Grupo Santander.</t>
  </si>
  <si>
    <t>7AAFMP</t>
  </si>
  <si>
    <t>El mexicano Andrés Delgado Calderón se apellida Calderón, el cual usa el alfabeto latino. La capital de México es Ciudad de México; México es un país llamado México y su jefe de Estado es Claudia Sheinbaum.</t>
  </si>
  <si>
    <t>Il messicano Andrés Delgado Calderón ha il cognome Calderón, che utilizza l'alfabeto latino. La capitale del Messico è Città del Messico; il Messico è un Paese chiamato Messico e il suo capo di Stato è Claudia Sheinbaum.</t>
  </si>
  <si>
    <t>[{"text": "cognome Cal", "confidence": 0.304931640625, "severity": "critical", "start": 42, "end": 54}, {"text": "rón", "confidence": 0.30322265625, "severity": "critical", "start": 56, "end": 59}, {"text": "che utilizza l", "confidence": 0.30517578125, "severity": "critical", "start": 60, "end": 75}, {"text": "al", "confidence": 0.30419921875, "severity": "critical", "start": 76, "end": 78}]</t>
  </si>
  <si>
    <t>Explanation for error: The critical errors in the translation are the fragmented and incorrect rendering of the surname "Calderón." The translation breaks the surname into "Cal" and "de rón," which is incorrect and disrupts the readability and accuracy of the name. Additionally, the phrase "che utilizza l'alfabeto latino" is awkwardly placed and disrupts the flow of the sentence. The correct translation should maintain the integrity of the name and ensure that the sentence structure is clear and coherent.</t>
  </si>
  <si>
    <t>KFPAXW</t>
  </si>
  <si>
    <t>La carne zaraza pertenece a México, cuyo idioma oficial es el maya.</t>
  </si>
  <si>
    <t>La carne Zaraza appartiene al Messico, la cui lingua ufficiale è il Maya.</t>
  </si>
  <si>
    <t>[{"text": "carne Zaraza", "confidence": 0.370849609375, "severity": "major", "start": 2, "end": 15}]</t>
  </si>
  <si>
    <t>Explanation for error: The term "La carne Zaraza" is a literal translation of "The meat zaraza," which does not convey the intended meaning in English or Italian. The word "zaraza" is likely a mistranslation or typo for a proper noun or a specific type of meat that is not recognized in this context. The phrase "La carne zaraza" does not make sense in either language, as "zaraza" does not refer to a type of meat in Italian or Spanish. The correct translation should accurately reflect the subject matter, which seems to be about a specific type of meat or a geographical or cultural reference related to Mexico.</t>
  </si>
  <si>
    <t>La carne tipica appartiene al Messico, il cui idioma ufficiale è il maya.</t>
  </si>
  <si>
    <t>La carne zaraza appartiene al Messico, la cui lingua ufficiale è il maya.</t>
  </si>
  <si>
    <t>"carne zaraza" erroneamente tradotto con "carne tipica"</t>
  </si>
  <si>
    <t>AH23ZP</t>
  </si>
  <si>
    <t>El Fútbol Club Barcelona Hockey sobre patines tiene como organización matriz al Fútbol Club Barcelona, tiene su sede en Barcelona y su estadio es el Palau Blaugrana.</t>
  </si>
  <si>
    <t>Il Futbol Club Barcelona Roller Hockey ha come organizzazione madre il Futbol Club Barcelona, ha sede a Barcellona e il suo stadio di casa è il Palau Blaugrana.</t>
  </si>
  <si>
    <t>[{"text": "Roller Hockey", "confidence": 0.31787109375, "severity": "critical", "start": 24, "end": 38}]</t>
  </si>
  <si>
    <t>Explanation for error: The term "Roller Hockey" is a direct translation of "Hockey sobre patines," which is not incorrect but might not fully convey the specific sport being referred to. In Italian, the term "Hockey" alone is often used to refer to the sport in general, without specifying "Roller" unless it's necessary for clarity. The use of "Roller Hockey" in the translation could potentially confuse readers unfamiliar with the sport, as it might imply a different form of hockey than what is traditionally played on ice. A more accurate translation would specify the type of hockey being referred to, ensuring clarity and avoiding confusion.</t>
  </si>
  <si>
    <t>Il Futbol Club Barcelona Hockey su pattini ha come organizzazione madre il Futbol Club Barcelona, ha sede a Barcellona e il suo stadio di casa è il Palau Blaugrana.</t>
  </si>
  <si>
    <t>IS42X9</t>
  </si>
  <si>
    <t>El francés Tomas Matauko estudió en la INSAS.</t>
  </si>
  <si>
    <t>Il francese Tomas Matauko ha studiato all'INSAS.</t>
  </si>
  <si>
    <t>[{"text": "ha studia", "confidence": 0.310546875, "severity": "critical", "start": 25, "end": 35}, {"text": "all", "confidence": 0.322021484375, "severity": "minor", "start": 37, "end": 41}, {"text": "INSAS", "confidence": 0.307861328125, "severity": "critical", "start": 42, "end": 47}]</t>
  </si>
  <si>
    <t>Explanation for error "ha studia": The error "ha studia" is a typographical mistake where the verb "studia" is incorrectly conjugated in the past tense. The correct form should be "ha studiato," which is the past tense of "studiare" in Italian. This error significantly impacts the readability and grammatical correctness of the sentence.
Explanation for error "all'": The preposition "all'" is used correctly in terms of its meaning, indicating "at" or "in" a place. However, the analysis might suggest that the use of "all'" without the apostrophe is a minor typographical error. In Italian, the correct preposition for indicating a place of study is "all'."
Explanation for error "INSAS": The acronym "INSAS" is correctly translated and does not seem to be an error. However, the analysis might be pointing out the lack of explanation or context for "INSAS," which could be important for an Italian audience unfamiliar with the institution. Providing a brief explanation or leaving it as is without explanation might depend on the target audience's familiarity with the acronym.</t>
  </si>
  <si>
    <t>3Z967Q</t>
  </si>
  <si>
    <t>El modelo Dev Gill es de nacionalidad india, que contiene la subdivisión Chhattisgarh.</t>
  </si>
  <si>
    <t>Il modello Dev Gill è di nazionalità indiana, che contiene la suddivisione Chhattisgarh.</t>
  </si>
  <si>
    <t>[{"text": "che contiene", "confidence": 0.30712890625, "severity": "critical", "start": 45, "end": 58}, {"text": "suddivisione", "confidence": 0.3125, "severity": "critical", "start": 61, "end": 74}]</t>
  </si>
  <si>
    <t>Explanation for error: The phrase "che contiene" translates to "which contains," which is a critical error because it incorrectly suggests that India contains Chhattisgarh as a subdivision, which is not the intended meaning. The original Spanish sentence is meant to convey that Dev Gill is from India, which includes the state of Chhattisgarh as a subdivision. The use of "che contiene" misleads the reader into thinking India is a container for Chhattisgarh, rather than stating that Chhattisgarh is a part of India.</t>
  </si>
  <si>
    <t>Il modello Dev Gill è di nazionalità indiana, inclusa la regione di Chhattisgarh.</t>
  </si>
  <si>
    <t>PEMH6D</t>
  </si>
  <si>
    <t>Robert Arató tiene como nombre de pila «Robert Arató» y usa el alfabeto latino.</t>
  </si>
  <si>
    <t>Robert Arató ha il nome cristiano "Robert Arató" e utilizza l'alfabeto latino.</t>
  </si>
  <si>
    <t>[{"text": "il nome", "confidence": 0.30517578125, "severity": "critical", "start": 15, "end": 23}, {"text": "cristiano \"Robert Arató", "confidence": 0.3056640625, "severity": "critical", "start": 24, "end": 47}]</t>
  </si>
  <si>
    <t>Explanation for error severity: The term "il nome cristiano" is a mistranslation of "nombre de pila," which refers to a person's given name. The word "cristiano" translates to "Christian," which is not the intended meaning in this context. The correct translation should simply refer to the given name without implying a religious affiliation. Additionally, the quotation marks around "Robert Arató" are misplaced and unnecessary in this context. The phrase "e utilizza l'alfabeto latino" is correctly translated but could be more naturally phrased to match the source's structure and meaning more closely.</t>
  </si>
  <si>
    <t>Robert Arató ha come nome di battesimo "Robert Arató" e utilizza l'alfabeto latino.</t>
  </si>
  <si>
    <t>V17LSA</t>
  </si>
  <si>
    <t>El fideo está compuesto por agua y causa intolerancia al gluten.</t>
  </si>
  <si>
    <t>Le tagliatelle sono composte da acqua e causano intolleranza al glutine.</t>
  </si>
  <si>
    <t>[{"text": "tagliatelle", "confidence": 0.313232421875, "severity": "critical", "start": 2, "end": 14}]</t>
  </si>
  <si>
    <t>Explanation for error: The term "tagliatelle" is a specific type of pasta, typically made from egg and flour, and is not a direct equivalent of "fideo" in this context. "Fideo" can refer to various types of noodles or pasta, but in the source text, it seems to be a more general term for pasta or noodles. The use of "tagliatelle" narrows the meaning to a specific type of pasta, which may not accurately reflect the original's broader implication.</t>
  </si>
  <si>
    <t>Le noodles sono composte da acqua e causano intolleranza al glutine.</t>
  </si>
  <si>
    <t xml:space="preserve"> Il fideo è composto da acqua e causa intolleranza al glutine.</t>
  </si>
  <si>
    <t xml:space="preserve"> "Fideo" è un termine culinario specifico e "noodles" non è il termine appropriato in italiano. A livello grammaticale c'è un cambio di numero e genere.</t>
  </si>
  <si>
    <t>RITBIC</t>
  </si>
  <si>
    <t>El Testamento de Adán está nombrado en referencia a Adán y su religión es el cristianismo.</t>
  </si>
  <si>
    <t>Il Testamento di Adamo prende il nome da Adamo e la sua religione è il cristianesimo.</t>
  </si>
  <si>
    <t>[{"text": "Testamento di Adamo prende", "confidence": 0.31201171875, "severity": "critical", "start": 2, "end": 29}, {"text": "nome", "confidence": 0.301513671875, "severity": "critical", "start": 32, "end": 37}]</t>
  </si>
  <si>
    <t>Explanation for error: The phrase "Il Testamento di Adamo prende il nome da Adamo" is a critical error because it inaccurately translates the original Spanish sentence. The correct translation should convey that "The Testament of Adam" is named after Adam, not that it "takes the name from Adam." The use of "prende il nome" (takes the name) is misleading and does not accurately reflect the original meaning, which is that the name of the document is directly related to Adam. Additionally, the translation omits the crucial detail that Adam's religion is Christianity, which is a significant part of the original sentence.</t>
  </si>
  <si>
    <t>Il Testamento di Adamo è chiamato così in riferimento ad Adamo e la sua religione è il cristianesimo.</t>
  </si>
  <si>
    <t>JY3TCK</t>
  </si>
  <si>
    <t>Pesticide application utiliza fumigadora y es una faceta de pesticida.</t>
  </si>
  <si>
    <t>L'applicazione dei pesticidi utilizza i fumigatori ed è un aspetto dei pesticidi.</t>
  </si>
  <si>
    <t>[{"text": "'", "confidence": 0.298583984375, "severity": "critical", "start": 1, "end": 2}, {"text": "utilizza i fumigatori", "confidence": 0.3046875, "severity": "critical", "start": 28, "end": 50}, {"text": "è un aspetto dei", "confidence": 0.30224609375, "severity": "critical", "start": 53, "end": 70}, {"text": "pesticidi", "confidence": 0.298828125, "severity": "critical", "start": 71, "end": 80}]</t>
  </si>
  <si>
    <t>Explanation for errors: The translation contains several critical errors that significantly impact the clarity and accuracy of the translation. Firstly, the use of "L'applicazione dei pesticidi" is not incorrect but could be more accurately translated to reflect the specific action of applying pesticides, which is a process rather than a static state. Secondly, "utilizza i fumigatori" is a direct translation but lacks the necessary preposition to make the sentence grammatically correct in Italian. The correct preposition would be "con" to indicate the use of fumigators in the application process. Lastly, "è un aspetto dei pesticidi" is a literal translation that doesn't fully capture the intended meaning. The phrase should convey that fumigation is a method or technique used in pesticide application, not just an aspect of pesticides.</t>
  </si>
  <si>
    <t>L'applicazione dei pesticidi utilizza i fumigatori ed è un metodo di applicazione dei pesticidi.</t>
  </si>
  <si>
    <t>L'applicazione dei pesticidi utilizza fumigatori ed è un aspetto dei pesticidi.</t>
  </si>
  <si>
    <t>"faceta" è erroneamente tradotto come "metodo". "di applicazione" è un'aggiunta.</t>
  </si>
  <si>
    <t>8TQH3A</t>
  </si>
  <si>
    <t>Mabeleapudi está en Botsuana y está situado en la entidad territorial administrativa Distrito Central.</t>
  </si>
  <si>
    <t>Mabeleapudi è in Botswana e si trova nell'entità territoriale amministrativa Distretto Centrale.</t>
  </si>
  <si>
    <t>[{"text": "ità", "confidence": 0.301513671875, "severity": "critical", "start": 45, "end": 48}, {"text": "e", "confidence": 0.298583984375, "severity": "critical", "start": 60, "end": 61}, {"text": "ministrativa Distretto Centrale", "confidence": 0.304443359375, "severity": "critical", "start": 64, "end": 95}]</t>
  </si>
  <si>
    <t>Explanation for error1: The word "entità" is a mistranslation of "entidad" in this context. "Entità" is more commonly used in Italian to refer to entities in a philosophical or abstract sense, rather than administrative entities. The correct term should be "entità" or "entità territoriale," which more accurately reflects the meaning of "entidad" in the source text, referring to a territorial administrative entity.
Explanation for error2: The word "territoriale" is correctly translated but is split incorrectly due to a typographical error in the analysis. The correct term should be "territoriale amministrativa," which means "administrative territorial entity." This error disrupts the readability and understanding of the sentence.
Explanation for error3: The phrase "Distretto Centrale" is a direct translation of "Distrito Central." However, the use of "Distretto" in Italian is not standard for referring to administrative districts or regions. The correct term should be "Distretto" with an accent to indicate the correct pronunciation, or it should be adapted to the Italian context, such as "Distretto Centrale" with a space to correctly separate the words.</t>
  </si>
  <si>
    <t>Mabeleapudi si trova in Botswana e fa parte dell'entità territoriale amministrativa del Distretto Centrale.</t>
  </si>
  <si>
    <t>XN0ODX</t>
  </si>
  <si>
    <t>Lorena Rojas Nucamendi habla/escribe en español y el español tiene como país Argentina.</t>
  </si>
  <si>
    <t>Lorena Rojas Nucamendi parla/scrive in spagnolo e lo spagnolo ha come paese l'Argentina.</t>
  </si>
  <si>
    <t>[{"text": "l", "confidence": 0.3154296875, "severity": "critical", "start": 75, "end": 77}]</t>
  </si>
  <si>
    <t>Explanation for error: The error in the translation is the incorrect use of the preposition "l'" before "Argentina." In Italian, the correct preposition to indicate possession or association with a country is "di," not "l'" which is a typo or a misinterpretation of the preposition "di." The correct translation should use "di" to indicate that Spanish has Argentina as its country.</t>
  </si>
  <si>
    <t>TIFDJ6</t>
  </si>
  <si>
    <t>Okene está en el continente África, su órgano legislativo es Okene legislative council y su país de nacionalidad es Nigeria.</t>
  </si>
  <si>
    <t>Okene si trova nel continente africano, il suo organo legislativo è il Consiglio legislativo di Okene e la sua nazionalità è la Nigeria.</t>
  </si>
  <si>
    <t>[{"text": "Consiglio", "confidence": 0.304443359375, "severity": "critical", "start": 70, "end": 80}]</t>
  </si>
  <si>
    <t>Explanation for error: The term "Consiglio" in "Consiglio legislativo di Okene" is a direct translation of "council," but it lacks the specificity and formality required for an official legislative body. In Italian, the term "Consiglio" alone might not convey the proper level of formality and specificity for a legislative body, especially in a context that requires a more precise and official term. The translation could be improved by using a term that more accurately reflects the official and formal nature of a legislative council.</t>
  </si>
  <si>
    <t>Okene si trova nel continente africano, il suo organo legislativo è il Consiglio legislativo di Okene e il suo paese è la Nigeria.</t>
  </si>
  <si>
    <t>Omission (1): "país de" è stato omesso; Mistranslation (1): il concetto è alterato. "país de nacionalidad" = "paese di cui ha la nazionalità", mentre "nazionalità" da solo è il concetto astratto, non il paese; Grammar (1): "la sua nazionalità è la Nigeria" è grammaticalmente scorretto.</t>
  </si>
  <si>
    <t>BDMQ09</t>
  </si>
  <si>
    <t>El Aeródromo de Tomás Fernández Espada está situado en España y pertenece a España, que está en Europa y su capital es Madrid.</t>
  </si>
  <si>
    <t>L'Aerodromo Tomás Fernández Espada si trova in Spagna e appartiene alla Spagna, che è in Europa e la sua capitale è Madrid.</t>
  </si>
  <si>
    <t>[{"text": "è in", "confidence": 0.31005859375, "severity": "critical", "start": 83, "end": 88}]</t>
  </si>
  <si>
    <t>Explanation for error: The phrase "che è in Europa" directly translates to "which is in Europe," which is grammatically correct but awkward in Italian. The construction of the sentence in Italian makes it seem as though "Spagna" (Spain) is being described as being in Europe, rather than Spain being the country that is in Europe. This creates confusion about the geographical relationship between Spain and Europe. A more natural way to express this in Italian would involve restructuring the sentence to clearly indicate that Spain is a country in Europe, without implying that Spain itself is in Europe.</t>
  </si>
  <si>
    <t>L'Aerodromo Tomás Fernández Espada si trova in Spagna, che è un paese in Europa, con Madrid come capitale.</t>
  </si>
  <si>
    <t>Omission (1): "pertenece a España" è omesso
Addition (1): "che è un paese" è aggiunto</t>
  </si>
  <si>
    <t>XXC9PR</t>
  </si>
  <si>
    <t>Los Ángeles se encuentra en el huso horario UTC−8 y el cargo ocupado por el jefe de gobierno es el de alcalde de Los Ángeles.</t>
  </si>
  <si>
    <t>Los Angeles si trova nel fuso orario UTC-8 e la carica del capo del governo è il sindaco di Los Angeles.</t>
  </si>
  <si>
    <t>[{"text": "-8", "confidence": 0.30810546875, "severity": "critical", "start": 40, "end": 42}, {"text": "la carica del capo", "confidence": 0.32421875, "severity": "major", "start": 44, "end": 63}, {"text": "governo è il sindaco", "confidence": 0.316162109375, "severity": "critical", "start": 67, "end": 88}]</t>
  </si>
  <si>
    <t>Explanation for error marked as "critical": The error in the translation of the time zone is a critical one because it directly affects the accuracy of the information being conveyed. The correct time zone abbreviation for UTC-8 is "UTC−8," not "UTC-8." This is a typographical error that could lead to confusion or misinterpretation of the time zone.
Explanation for error marked as "major": The phrase "la carica del capo del governo" is a mistranslation. The correct term should be "la carica del sindaco," which translates to "the position of the mayor." The original translation inaccurately refers to the "head of government" rather than the "mayor," which is the correct term for the position being discussed.</t>
  </si>
  <si>
    <t>Los Angeles si trova nel fuso orario UTC−8 e la carica occupata dal sindaco è quella di sindaco di Los Angeles.</t>
  </si>
  <si>
    <t>Los Angeles si trova nel fuso orario UTC−8 e la carica occupata dal capo del governo è quella di sindaco di Los Angeles.</t>
  </si>
  <si>
    <t>Omission (1): "el jefe de gobierno" è omesso/sostituito
Mistranslation (1): la struttura della frase risulta senza senso</t>
  </si>
  <si>
    <t>YX8O4Q</t>
  </si>
  <si>
    <t>Rabindranath Tagore estudió en el University College de Londres y estuvo casado con Mrinalini Devi.</t>
  </si>
  <si>
    <t>Rabindranath Tagore studiò all'University College di Londra e fu sposato con Mrinalini Devi.</t>
  </si>
  <si>
    <t>[{"text": "ò all", "confidence": 0.3203125, "severity": "critical", "start": 25, "end": 30}, {"text": "University College di", "confidence": 0.313232421875, "severity": "minor", "start": 31, "end": 52}]</t>
  </si>
  <si>
    <t>Explanation for error1: The error "ò all" is a typographical error where the word "all" is mistakenly split into two parts. This disrupts the readability and understanding of the sentence. It's a critical error because it directly affects the ability to read and understand the sentence.
Explanation for error2: The phrase "University College di" is a direct translation of "University College of" but lacks the definite article "the" before "University College," which is necessary in English to specify the particular institution being referred to. This is a minor error because it does not significantly impact the overall understanding but does affect the natural flow and specificity of the sentence.</t>
  </si>
  <si>
    <t>Rabindranath Tagore studiò al University College di Londra e fu sposato con Mrinalini Devi.</t>
  </si>
  <si>
    <t>KMOQ3E</t>
  </si>
  <si>
    <t>Michael Collins, que estudió en la Academia Militar de los Estados Unidos, está casado con Michael Collins y tiene por hija a Kate Collins.</t>
  </si>
  <si>
    <t>Michael Collins, che ha studiato all'Accademia militare degli Stati Uniti, è sposato con Michael Collins e ha una figlia, Kate Collins.</t>
  </si>
  <si>
    <t>[{"text": "Accademia", "confidence": 0.303955078125, "severity": "critical", "start": 37, "end": 46}, {"text": "con Michael Collins", "confidence": 0.31005859375, "severity": "critical", "start": 84, "end": 104}]</t>
  </si>
  <si>
    <t>Explanation for error in "Accademia": The term "Accademia" is a direct translation of "Academy," but in this context, it should be capitalized as "Accademia" to reflect the proper name of the institution, which is the United States Military Academy. The lowercase usage in the translation is a critical error because it fails to recognize the proper noun status of the institution's name.
Explanation for error in "con Michael Collins": The repetition of "Michael Collins" in the phrase "è sposato con Michael Collins" is a critical error because it incorrectly suggests that Michael Collins is married to himself. This is a clear misunderstanding of the original sentence structure, which indicates that Michael Collins is married to another person named Michael Collins. The correct translation should differentiate between the two individuals to avoid confusion.</t>
  </si>
  <si>
    <t>Michael Collins, che ha studiato all'Accademia militare degli Stati Uniti, è sposato con Kate Collins e ha una figlia, Kate Collins.</t>
  </si>
  <si>
    <t>Ha cambiato il nome del coniuge da "Michael Collins" a "Kate Collins"</t>
  </si>
  <si>
    <t>2CFC5Q</t>
  </si>
  <si>
    <t>Treste está en Italia y tiene como desembocadura del curso de agua el Trigno.</t>
  </si>
  <si>
    <t>Treste si trova in Italia e ha come foce il Trigno.</t>
  </si>
  <si>
    <t>[{"text": "ha come foce", "confidence": 0.31640625, "severity": "critical", "start": 27, "end": 40}]</t>
  </si>
  <si>
    <t>Explanation for error: The phrase "ha come foce" directly translates to "has as its mouth" or "has as its outlet," which is technically correct but lacks the specificity and clarity that the original Spanish sentence conveys. The original sentence specifies that the Trigno is the "desembocadura del curso de agua," which means "the mouth of the watercourse." The translation could be improved by specifying that it is the mouth of a river or watercourse to provide a clearer and more accurate description of the geographical feature being referred to.</t>
  </si>
  <si>
    <t>Treste si trova in Italia e ha il Trigno come foce del corso d'acqua.</t>
  </si>
  <si>
    <t>Il Treste si trova in Italia e sfocia nel fiume Trigno.</t>
  </si>
  <si>
    <t>La costruzione "ha il Trigno come foce del corso d'acqua" non è naturale in italiano</t>
  </si>
  <si>
    <t>4IVBMW</t>
  </si>
  <si>
    <t>Roland Teichmann tiene el apellido Teichmann, que está en alemán.</t>
  </si>
  <si>
    <t>Roland Teichmann ha il cognome Teichmann, che è in tedesco.</t>
  </si>
  <si>
    <t>[{"text": "è in", "confidence": 0.310791015625, "severity": "critical", "start": 45, "end": 50}]</t>
  </si>
  <si>
    <t>Explanation for error: The phrase "che è in tedesco" directly translates to "which is in German," which is grammatically correct but awkward in Italian. The construction of the sentence in Italian makes it sound as if "Teichmann" is a location or a state of being in German, rather than being a German surname. A more natural way to convey this information in Italian would involve restructuring the sentence to emphasize that "Teichmann" is a German surname.</t>
  </si>
  <si>
    <t>Roland Teichmann ha il cognome Teichmann, che è un cognome tedesco.</t>
  </si>
  <si>
    <t>Roland Teichmann ha il cognome Teichmann, che è tedesco.</t>
  </si>
  <si>
    <t>"cognome" è stato aggiunto/ripetuto</t>
  </si>
  <si>
    <t>26NFCD</t>
  </si>
  <si>
    <t>El merengón pertenece a Colombia, cuyo idioma oficial es el español.</t>
  </si>
  <si>
    <t>Merengón appartiene alla Colombia, la cui lingua ufficiale è lo spagnolo.</t>
  </si>
  <si>
    <t>[{"text": "Merengón", "confidence": 0.348876953125, "severity": "major", "start": 0, "end": 8}, {"text": "tiene alla", "confidence": 0.320556640625, "severity": "critical", "start": 14, "end": 24}, {"text": "spagnol", "confidence": 0.306640625, "severity": "critical", "start": 63, "end": 71}]</t>
  </si>
  <si>
    <t>Il merengue è un genere musicale originario della Colombia, il cui idioma ufficiale è lo spagnolo.</t>
  </si>
  <si>
    <t>Il merengón appartiene alla Colombia, la cui lingua ufficiale è lo spagnolo.</t>
  </si>
  <si>
    <t>Mistranslation (1): "Merengón" è erroneamente tradotto in "Merengue"; Addition (1): l'informazione "è un genere musicale originario" è aggiunta</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</si>
</sst>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b/>
      <sz val="9.0"/>
      <color theme="1"/>
      <name val="Arial"/>
    </font>
    <font>
      <b/>
      <sz val="9.0"/>
      <color rgb="FF434343"/>
      <name val="Arial"/>
    </font>
    <font>
      <b/>
      <sz val="9.0"/>
      <color rgb="FF434343"/>
      <name val="Calibri"/>
    </font>
    <font>
      <b/>
      <sz val="12.0"/>
      <color rgb="FF434343"/>
      <name val="Arial"/>
    </font>
    <font>
      <color theme="1"/>
      <name val="Calibri"/>
    </font>
    <font>
      <sz val="11.0"/>
      <color theme="1"/>
      <name val="Calibri"/>
    </font>
  </fonts>
  <fills count="5">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2" fontId="2" numFmtId="0" xfId="0" applyAlignment="1" applyBorder="1" applyFill="1" applyFont="1">
      <alignment shrinkToFit="0" vertical="bottom" wrapText="1"/>
    </xf>
    <xf borderId="1" fillId="3" fontId="3" numFmtId="0" xfId="0" applyAlignment="1" applyBorder="1" applyFill="1" applyFont="1">
      <alignment shrinkToFit="0" vertical="bottom" wrapText="1"/>
    </xf>
    <xf borderId="1" fillId="3" fontId="4" numFmtId="0" xfId="0" applyAlignment="1" applyBorder="1" applyFont="1">
      <alignment shrinkToFit="0" vertical="bottom" wrapText="1"/>
    </xf>
    <xf borderId="1" fillId="4" fontId="3" numFmtId="0" xfId="0" applyAlignment="1" applyBorder="1" applyFill="1" applyFont="1">
      <alignment shrinkToFit="0" vertical="bottom" wrapText="1"/>
    </xf>
    <xf borderId="1" fillId="4" fontId="5" numFmtId="0" xfId="0" applyAlignment="1" applyBorder="1" applyFont="1">
      <alignment shrinkToFit="0" vertical="bottom" wrapText="1"/>
    </xf>
    <xf borderId="0" fillId="4" fontId="5" numFmtId="0" xfId="0" applyAlignment="1" applyFont="1">
      <alignment horizontal="left" readingOrder="0" shrinkToFit="0" vertical="bottom" wrapText="1"/>
    </xf>
    <xf borderId="0" fillId="0" fontId="6" numFmtId="0" xfId="0" applyAlignment="1" applyFont="1">
      <alignment shrinkToFit="0" wrapText="1"/>
    </xf>
    <xf borderId="0" fillId="0" fontId="7"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horizontal="center" shrinkToFit="0" wrapText="1"/>
    </xf>
    <xf borderId="0" fillId="0" fontId="7" numFmtId="0" xfId="0" applyAlignment="1" applyFont="1">
      <alignment horizontal="left" shrinkToFit="0" wrapText="1"/>
    </xf>
    <xf borderId="0" fillId="0" fontId="7" numFmtId="0" xfId="0" applyAlignment="1" applyFont="1">
      <alignment horizontal="left" readingOrder="0" shrinkToFit="0" wrapText="1"/>
    </xf>
    <xf borderId="0" fillId="0" fontId="6"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41.71"/>
    <col customWidth="1" hidden="1" min="5" max="5" width="37.86"/>
    <col customWidth="1" hidden="1" min="6" max="6" width="8.71"/>
    <col customWidth="1" min="7" max="7" width="16.14"/>
    <col customWidth="1" hidden="1" min="8" max="12" width="8.71"/>
    <col customWidth="1" min="13" max="13" width="58.29"/>
    <col customWidth="1" min="14" max="14" width="12.14"/>
    <col customWidth="1" min="15" max="15" width="12.71"/>
    <col customWidth="1" min="16" max="16" width="9.86"/>
    <col customWidth="1" min="17" max="17" width="8.71"/>
    <col customWidth="1" min="18" max="18" width="13.43"/>
    <col customWidth="1" min="19" max="21" width="8.71"/>
    <col customWidth="1" min="22" max="22" width="12.43"/>
    <col customWidth="1" min="23" max="23" width="11.86"/>
    <col customWidth="1" min="24" max="24" width="16.14"/>
    <col customWidth="1" min="25" max="26" width="8.71"/>
    <col customWidth="1" min="27" max="27" width="42.14"/>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3" t="s">
        <v>18</v>
      </c>
      <c r="T1" s="4" t="s">
        <v>19</v>
      </c>
      <c r="U1" s="4" t="s">
        <v>20</v>
      </c>
      <c r="V1" s="3" t="s">
        <v>21</v>
      </c>
      <c r="W1" s="3" t="s">
        <v>22</v>
      </c>
      <c r="X1" s="5" t="s">
        <v>23</v>
      </c>
      <c r="Y1" s="6" t="s">
        <v>24</v>
      </c>
      <c r="Z1" s="6" t="s">
        <v>25</v>
      </c>
      <c r="AA1" s="7" t="s">
        <v>26</v>
      </c>
    </row>
    <row r="2">
      <c r="A2" s="8" t="s">
        <v>27</v>
      </c>
      <c r="B2" s="8" t="s">
        <v>28</v>
      </c>
      <c r="C2" s="8" t="s">
        <v>29</v>
      </c>
      <c r="D2" s="8" t="s">
        <v>30</v>
      </c>
      <c r="E2" s="8" t="s">
        <v>31</v>
      </c>
      <c r="F2" s="8">
        <v>0.5462847352027893</v>
      </c>
      <c r="G2" s="8" t="s">
        <v>32</v>
      </c>
      <c r="H2" s="8" t="s">
        <v>33</v>
      </c>
      <c r="I2" s="8">
        <v>2.0</v>
      </c>
      <c r="J2" s="8">
        <v>0.0</v>
      </c>
      <c r="K2" s="8">
        <v>1.0</v>
      </c>
      <c r="L2" s="8" t="s">
        <v>34</v>
      </c>
      <c r="M2" s="8" t="s">
        <v>35</v>
      </c>
      <c r="N2" s="9">
        <v>0.0</v>
      </c>
      <c r="O2" s="9">
        <v>0.0</v>
      </c>
      <c r="P2" s="9">
        <v>0.0</v>
      </c>
      <c r="Q2" s="9">
        <v>0.0</v>
      </c>
      <c r="R2" s="9">
        <v>0.0</v>
      </c>
      <c r="S2" s="9">
        <v>0.0</v>
      </c>
      <c r="T2" s="9">
        <v>0.0</v>
      </c>
      <c r="U2" s="9">
        <v>0.0</v>
      </c>
      <c r="V2" s="9">
        <v>0.0</v>
      </c>
      <c r="W2" s="9">
        <v>0.0</v>
      </c>
      <c r="X2" s="10"/>
      <c r="Y2" s="11">
        <f t="shared" ref="Y2:Y51" si="1">ABS((N2+O2+P2+Q2+R2)-5)</f>
        <v>5</v>
      </c>
      <c r="Z2" s="11">
        <f t="shared" ref="Z2:Z51" si="2">ABS((S2+T2+U2+V2+W2)-5)</f>
        <v>5</v>
      </c>
      <c r="AA2" s="12"/>
    </row>
    <row r="3">
      <c r="A3" s="8" t="s">
        <v>36</v>
      </c>
      <c r="B3" s="8" t="s">
        <v>28</v>
      </c>
      <c r="C3" s="8" t="s">
        <v>29</v>
      </c>
      <c r="D3" s="8" t="s">
        <v>37</v>
      </c>
      <c r="E3" s="8" t="s">
        <v>38</v>
      </c>
      <c r="F3" s="8">
        <v>0.5694999694824219</v>
      </c>
      <c r="G3" s="8" t="s">
        <v>32</v>
      </c>
      <c r="H3" s="8" t="s">
        <v>39</v>
      </c>
      <c r="I3" s="8">
        <v>0.0</v>
      </c>
      <c r="J3" s="8">
        <v>0.0</v>
      </c>
      <c r="K3" s="8">
        <v>1.0</v>
      </c>
      <c r="L3" s="8" t="s">
        <v>40</v>
      </c>
      <c r="M3" s="8" t="s">
        <v>41</v>
      </c>
      <c r="N3" s="9">
        <v>0.0</v>
      </c>
      <c r="O3" s="9">
        <v>0.0</v>
      </c>
      <c r="P3" s="9">
        <v>1.0</v>
      </c>
      <c r="Q3" s="9">
        <v>0.0</v>
      </c>
      <c r="R3" s="9">
        <v>0.0</v>
      </c>
      <c r="S3" s="9">
        <v>0.0</v>
      </c>
      <c r="T3" s="9">
        <v>0.0</v>
      </c>
      <c r="U3" s="9">
        <v>0.0</v>
      </c>
      <c r="V3" s="9">
        <v>0.0</v>
      </c>
      <c r="W3" s="9">
        <v>0.0</v>
      </c>
      <c r="X3" s="9" t="s">
        <v>42</v>
      </c>
      <c r="Y3" s="11">
        <f t="shared" si="1"/>
        <v>4</v>
      </c>
      <c r="Z3" s="11">
        <f t="shared" si="2"/>
        <v>5</v>
      </c>
      <c r="AA3" s="13" t="s">
        <v>43</v>
      </c>
    </row>
    <row r="4">
      <c r="A4" s="8" t="s">
        <v>44</v>
      </c>
      <c r="B4" s="8" t="s">
        <v>28</v>
      </c>
      <c r="C4" s="8" t="s">
        <v>29</v>
      </c>
      <c r="D4" s="8" t="s">
        <v>45</v>
      </c>
      <c r="E4" s="8" t="s">
        <v>46</v>
      </c>
      <c r="F4" s="8">
        <v>0.428466796875</v>
      </c>
      <c r="G4" s="8" t="s">
        <v>32</v>
      </c>
      <c r="H4" s="8" t="s">
        <v>47</v>
      </c>
      <c r="I4" s="8">
        <v>0.0</v>
      </c>
      <c r="J4" s="8">
        <v>0.0</v>
      </c>
      <c r="K4" s="8">
        <v>3.0</v>
      </c>
      <c r="L4" s="8" t="s">
        <v>48</v>
      </c>
      <c r="M4" s="8" t="s">
        <v>49</v>
      </c>
      <c r="N4" s="9">
        <v>0.0</v>
      </c>
      <c r="O4" s="9">
        <v>1.0</v>
      </c>
      <c r="P4" s="9">
        <v>0.0</v>
      </c>
      <c r="Q4" s="9">
        <v>0.0</v>
      </c>
      <c r="R4" s="9">
        <v>0.0</v>
      </c>
      <c r="S4" s="9">
        <v>0.0</v>
      </c>
      <c r="T4" s="9">
        <v>0.0</v>
      </c>
      <c r="U4" s="9">
        <v>0.0</v>
      </c>
      <c r="V4" s="9">
        <v>0.0</v>
      </c>
      <c r="W4" s="9">
        <v>0.0</v>
      </c>
      <c r="X4" s="9" t="s">
        <v>50</v>
      </c>
      <c r="Y4" s="11">
        <f t="shared" si="1"/>
        <v>4</v>
      </c>
      <c r="Z4" s="11">
        <f t="shared" si="2"/>
        <v>5</v>
      </c>
      <c r="AA4" s="13" t="s">
        <v>51</v>
      </c>
    </row>
    <row r="5">
      <c r="A5" s="8" t="s">
        <v>52</v>
      </c>
      <c r="B5" s="8" t="s">
        <v>28</v>
      </c>
      <c r="C5" s="8" t="s">
        <v>29</v>
      </c>
      <c r="D5" s="8" t="s">
        <v>53</v>
      </c>
      <c r="E5" s="8" t="s">
        <v>54</v>
      </c>
      <c r="F5" s="8">
        <v>0.435546875</v>
      </c>
      <c r="G5" s="8" t="s">
        <v>32</v>
      </c>
      <c r="H5" s="8" t="s">
        <v>55</v>
      </c>
      <c r="I5" s="8">
        <v>1.0</v>
      </c>
      <c r="J5" s="8">
        <v>0.0</v>
      </c>
      <c r="K5" s="8">
        <v>3.0</v>
      </c>
      <c r="L5" s="8" t="s">
        <v>56</v>
      </c>
      <c r="M5" s="8" t="s">
        <v>54</v>
      </c>
      <c r="N5" s="9">
        <v>0.0</v>
      </c>
      <c r="O5" s="9">
        <v>0.0</v>
      </c>
      <c r="P5" s="9">
        <v>0.0</v>
      </c>
      <c r="Q5" s="9">
        <v>0.0</v>
      </c>
      <c r="R5" s="9">
        <v>0.0</v>
      </c>
      <c r="S5" s="9">
        <v>0.0</v>
      </c>
      <c r="T5" s="9">
        <v>0.0</v>
      </c>
      <c r="U5" s="9">
        <v>0.0</v>
      </c>
      <c r="V5" s="9">
        <v>0.0</v>
      </c>
      <c r="W5" s="9">
        <v>0.0</v>
      </c>
      <c r="X5" s="10"/>
      <c r="Y5" s="11">
        <f t="shared" si="1"/>
        <v>5</v>
      </c>
      <c r="Z5" s="11">
        <f t="shared" si="2"/>
        <v>5</v>
      </c>
      <c r="AA5" s="12"/>
    </row>
    <row r="6">
      <c r="A6" s="8" t="s">
        <v>57</v>
      </c>
      <c r="B6" s="8" t="s">
        <v>28</v>
      </c>
      <c r="C6" s="8" t="s">
        <v>29</v>
      </c>
      <c r="D6" s="8" t="s">
        <v>58</v>
      </c>
      <c r="E6" s="8" t="s">
        <v>59</v>
      </c>
      <c r="F6" s="8">
        <v>0.5626640319824219</v>
      </c>
      <c r="G6" s="8" t="s">
        <v>32</v>
      </c>
      <c r="H6" s="8" t="s">
        <v>60</v>
      </c>
      <c r="I6" s="8">
        <v>0.0</v>
      </c>
      <c r="J6" s="8">
        <v>0.0</v>
      </c>
      <c r="K6" s="8">
        <v>1.0</v>
      </c>
      <c r="L6" s="8" t="s">
        <v>61</v>
      </c>
      <c r="M6" s="8" t="s">
        <v>62</v>
      </c>
      <c r="N6" s="9">
        <v>0.0</v>
      </c>
      <c r="O6" s="9">
        <v>0.0</v>
      </c>
      <c r="P6" s="9">
        <v>0.0</v>
      </c>
      <c r="Q6" s="9">
        <v>0.0</v>
      </c>
      <c r="R6" s="9">
        <v>0.0</v>
      </c>
      <c r="S6" s="9">
        <v>0.0</v>
      </c>
      <c r="T6" s="9">
        <v>0.0</v>
      </c>
      <c r="U6" s="9">
        <v>0.0</v>
      </c>
      <c r="V6" s="9">
        <v>0.0</v>
      </c>
      <c r="W6" s="9">
        <v>0.0</v>
      </c>
      <c r="X6" s="10"/>
      <c r="Y6" s="11">
        <f t="shared" si="1"/>
        <v>5</v>
      </c>
      <c r="Z6" s="11">
        <f t="shared" si="2"/>
        <v>5</v>
      </c>
      <c r="AA6" s="12"/>
    </row>
    <row r="7">
      <c r="A7" s="8" t="s">
        <v>63</v>
      </c>
      <c r="B7" s="8" t="s">
        <v>28</v>
      </c>
      <c r="C7" s="8" t="s">
        <v>29</v>
      </c>
      <c r="D7" s="8" t="s">
        <v>64</v>
      </c>
      <c r="E7" s="8" t="s">
        <v>65</v>
      </c>
      <c r="F7" s="8">
        <v>0.5340995788574219</v>
      </c>
      <c r="G7" s="8" t="s">
        <v>32</v>
      </c>
      <c r="H7" s="8" t="s">
        <v>66</v>
      </c>
      <c r="I7" s="8">
        <v>0.0</v>
      </c>
      <c r="J7" s="8">
        <v>0.0</v>
      </c>
      <c r="K7" s="8">
        <v>1.0</v>
      </c>
      <c r="L7" s="8"/>
      <c r="M7" s="8" t="s">
        <v>67</v>
      </c>
      <c r="N7" s="9">
        <v>0.0</v>
      </c>
      <c r="O7" s="9">
        <v>0.0</v>
      </c>
      <c r="P7" s="9">
        <v>0.0</v>
      </c>
      <c r="Q7" s="9">
        <v>0.0</v>
      </c>
      <c r="R7" s="9">
        <v>0.0</v>
      </c>
      <c r="S7" s="9">
        <v>0.0</v>
      </c>
      <c r="T7" s="9">
        <v>0.0</v>
      </c>
      <c r="U7" s="9">
        <v>0.0</v>
      </c>
      <c r="V7" s="9">
        <v>0.0</v>
      </c>
      <c r="W7" s="9">
        <v>0.0</v>
      </c>
      <c r="X7" s="10"/>
      <c r="Y7" s="11">
        <f t="shared" si="1"/>
        <v>5</v>
      </c>
      <c r="Z7" s="11">
        <f t="shared" si="2"/>
        <v>5</v>
      </c>
      <c r="AA7" s="12"/>
    </row>
    <row r="8">
      <c r="A8" s="8" t="s">
        <v>68</v>
      </c>
      <c r="B8" s="8" t="s">
        <v>28</v>
      </c>
      <c r="C8" s="8" t="s">
        <v>29</v>
      </c>
      <c r="D8" s="8" t="s">
        <v>69</v>
      </c>
      <c r="E8" s="8" t="s">
        <v>70</v>
      </c>
      <c r="F8" s="8">
        <v>0.39013671875</v>
      </c>
      <c r="G8" s="8" t="s">
        <v>71</v>
      </c>
      <c r="H8" s="8" t="s">
        <v>72</v>
      </c>
      <c r="I8" s="8">
        <v>0.0</v>
      </c>
      <c r="J8" s="8">
        <v>0.0</v>
      </c>
      <c r="K8" s="8">
        <v>4.0</v>
      </c>
      <c r="L8" s="8" t="s">
        <v>73</v>
      </c>
      <c r="M8" s="8" t="s">
        <v>74</v>
      </c>
      <c r="N8" s="9">
        <v>0.0</v>
      </c>
      <c r="O8" s="9">
        <v>0.0</v>
      </c>
      <c r="P8" s="9">
        <v>0.0</v>
      </c>
      <c r="Q8" s="9">
        <v>0.0</v>
      </c>
      <c r="R8" s="9">
        <v>1.0</v>
      </c>
      <c r="S8" s="9">
        <v>0.0</v>
      </c>
      <c r="T8" s="9">
        <v>0.0</v>
      </c>
      <c r="U8" s="9">
        <v>0.0</v>
      </c>
      <c r="V8" s="9">
        <v>0.0</v>
      </c>
      <c r="W8" s="9">
        <v>1.0</v>
      </c>
      <c r="X8" s="9" t="s">
        <v>75</v>
      </c>
      <c r="Y8" s="11">
        <f t="shared" si="1"/>
        <v>4</v>
      </c>
      <c r="Z8" s="11">
        <f t="shared" si="2"/>
        <v>4</v>
      </c>
      <c r="AA8" s="13" t="s">
        <v>76</v>
      </c>
    </row>
    <row r="9">
      <c r="A9" s="8" t="s">
        <v>77</v>
      </c>
      <c r="B9" s="8" t="s">
        <v>28</v>
      </c>
      <c r="C9" s="8" t="s">
        <v>29</v>
      </c>
      <c r="D9" s="8" t="s">
        <v>78</v>
      </c>
      <c r="E9" s="8" t="s">
        <v>79</v>
      </c>
      <c r="F9" s="8">
        <v>0.433837890625</v>
      </c>
      <c r="G9" s="8" t="s">
        <v>32</v>
      </c>
      <c r="H9" s="8" t="s">
        <v>80</v>
      </c>
      <c r="I9" s="8">
        <v>0.0</v>
      </c>
      <c r="J9" s="8">
        <v>1.0</v>
      </c>
      <c r="K9" s="8">
        <v>3.0</v>
      </c>
      <c r="L9" s="8" t="s">
        <v>81</v>
      </c>
      <c r="M9" s="8" t="s">
        <v>82</v>
      </c>
      <c r="N9" s="9">
        <v>0.0</v>
      </c>
      <c r="O9" s="9">
        <v>0.0</v>
      </c>
      <c r="P9" s="9">
        <v>0.0</v>
      </c>
      <c r="Q9" s="9">
        <v>0.0</v>
      </c>
      <c r="R9" s="9">
        <v>0.0</v>
      </c>
      <c r="S9" s="9">
        <v>0.0</v>
      </c>
      <c r="T9" s="9">
        <v>1.0</v>
      </c>
      <c r="U9" s="10"/>
      <c r="V9" s="10"/>
      <c r="W9" s="10"/>
      <c r="X9" s="9" t="s">
        <v>83</v>
      </c>
      <c r="Y9" s="11">
        <f t="shared" si="1"/>
        <v>5</v>
      </c>
      <c r="Z9" s="11">
        <f t="shared" si="2"/>
        <v>4</v>
      </c>
      <c r="AA9" s="13" t="s">
        <v>84</v>
      </c>
    </row>
    <row r="10">
      <c r="A10" s="8" t="s">
        <v>85</v>
      </c>
      <c r="B10" s="8" t="s">
        <v>28</v>
      </c>
      <c r="C10" s="8" t="s">
        <v>29</v>
      </c>
      <c r="D10" s="8" t="s">
        <v>86</v>
      </c>
      <c r="E10" s="8" t="s">
        <v>87</v>
      </c>
      <c r="F10" s="8">
        <v>0.42041015625</v>
      </c>
      <c r="G10" s="8" t="s">
        <v>32</v>
      </c>
      <c r="H10" s="8" t="s">
        <v>88</v>
      </c>
      <c r="I10" s="8">
        <v>0.0</v>
      </c>
      <c r="J10" s="8">
        <v>0.0</v>
      </c>
      <c r="K10" s="8">
        <v>3.0</v>
      </c>
      <c r="L10" s="8" t="s">
        <v>89</v>
      </c>
      <c r="M10" s="8" t="s">
        <v>87</v>
      </c>
      <c r="N10" s="9">
        <v>0.0</v>
      </c>
      <c r="O10" s="9">
        <v>0.0</v>
      </c>
      <c r="P10" s="9">
        <v>0.0</v>
      </c>
      <c r="Q10" s="9">
        <v>0.0</v>
      </c>
      <c r="R10" s="9">
        <v>0.0</v>
      </c>
      <c r="S10" s="9">
        <v>0.0</v>
      </c>
      <c r="T10" s="9">
        <v>0.0</v>
      </c>
      <c r="U10" s="9">
        <v>0.0</v>
      </c>
      <c r="V10" s="9">
        <v>0.0</v>
      </c>
      <c r="W10" s="9">
        <v>0.0</v>
      </c>
      <c r="X10" s="10"/>
      <c r="Y10" s="11">
        <f t="shared" si="1"/>
        <v>5</v>
      </c>
      <c r="Z10" s="11">
        <f t="shared" si="2"/>
        <v>5</v>
      </c>
      <c r="AA10" s="12"/>
    </row>
    <row r="11">
      <c r="A11" s="8" t="s">
        <v>90</v>
      </c>
      <c r="B11" s="8" t="s">
        <v>28</v>
      </c>
      <c r="C11" s="8" t="s">
        <v>29</v>
      </c>
      <c r="D11" s="8" t="s">
        <v>91</v>
      </c>
      <c r="E11" s="8" t="s">
        <v>92</v>
      </c>
      <c r="F11" s="8">
        <v>0.5704765319824219</v>
      </c>
      <c r="G11" s="8" t="s">
        <v>32</v>
      </c>
      <c r="H11" s="8" t="s">
        <v>93</v>
      </c>
      <c r="I11" s="8">
        <v>0.0</v>
      </c>
      <c r="J11" s="8">
        <v>0.0</v>
      </c>
      <c r="K11" s="8">
        <v>1.0</v>
      </c>
      <c r="L11" s="8" t="s">
        <v>94</v>
      </c>
      <c r="M11" s="8" t="s">
        <v>92</v>
      </c>
      <c r="N11" s="9">
        <v>0.0</v>
      </c>
      <c r="O11" s="9">
        <v>0.0</v>
      </c>
      <c r="P11" s="9">
        <v>0.0</v>
      </c>
      <c r="Q11" s="9">
        <v>0.0</v>
      </c>
      <c r="R11" s="9">
        <v>0.0</v>
      </c>
      <c r="S11" s="9">
        <v>0.0</v>
      </c>
      <c r="T11" s="9">
        <v>0.0</v>
      </c>
      <c r="U11" s="9">
        <v>0.0</v>
      </c>
      <c r="V11" s="9">
        <v>0.0</v>
      </c>
      <c r="W11" s="9">
        <v>0.0</v>
      </c>
      <c r="X11" s="10"/>
      <c r="Y11" s="11">
        <f t="shared" si="1"/>
        <v>5</v>
      </c>
      <c r="Z11" s="11">
        <f t="shared" si="2"/>
        <v>5</v>
      </c>
      <c r="AA11" s="12"/>
    </row>
    <row r="12">
      <c r="A12" s="8" t="s">
        <v>95</v>
      </c>
      <c r="B12" s="8" t="s">
        <v>28</v>
      </c>
      <c r="C12" s="8" t="s">
        <v>29</v>
      </c>
      <c r="D12" s="8" t="s">
        <v>96</v>
      </c>
      <c r="E12" s="8" t="s">
        <v>97</v>
      </c>
      <c r="F12" s="8">
        <v>0.4719785153865814</v>
      </c>
      <c r="G12" s="8" t="s">
        <v>32</v>
      </c>
      <c r="H12" s="8" t="s">
        <v>98</v>
      </c>
      <c r="I12" s="8">
        <v>0.0</v>
      </c>
      <c r="J12" s="8">
        <v>0.0</v>
      </c>
      <c r="K12" s="8">
        <v>2.0</v>
      </c>
      <c r="L12" s="8" t="s">
        <v>99</v>
      </c>
      <c r="M12" s="8" t="s">
        <v>97</v>
      </c>
      <c r="N12" s="9">
        <v>0.0</v>
      </c>
      <c r="O12" s="9">
        <v>0.0</v>
      </c>
      <c r="P12" s="9">
        <v>0.0</v>
      </c>
      <c r="Q12" s="9">
        <v>0.0</v>
      </c>
      <c r="R12" s="9">
        <v>0.0</v>
      </c>
      <c r="S12" s="9">
        <v>0.0</v>
      </c>
      <c r="T12" s="9">
        <v>0.0</v>
      </c>
      <c r="U12" s="9">
        <v>0.0</v>
      </c>
      <c r="V12" s="9">
        <v>0.0</v>
      </c>
      <c r="W12" s="9">
        <v>0.0</v>
      </c>
      <c r="X12" s="10"/>
      <c r="Y12" s="11">
        <f t="shared" si="1"/>
        <v>5</v>
      </c>
      <c r="Z12" s="11">
        <f t="shared" si="2"/>
        <v>5</v>
      </c>
      <c r="AA12" s="12"/>
    </row>
    <row r="13">
      <c r="A13" s="8" t="s">
        <v>100</v>
      </c>
      <c r="B13" s="8" t="s">
        <v>28</v>
      </c>
      <c r="C13" s="8" t="s">
        <v>29</v>
      </c>
      <c r="D13" s="8" t="s">
        <v>101</v>
      </c>
      <c r="E13" s="8" t="s">
        <v>102</v>
      </c>
      <c r="F13" s="8">
        <v>0.5907949209213257</v>
      </c>
      <c r="G13" s="8" t="s">
        <v>32</v>
      </c>
      <c r="H13" s="8" t="s">
        <v>103</v>
      </c>
      <c r="I13" s="8">
        <v>0.0</v>
      </c>
      <c r="J13" s="8">
        <v>1.0</v>
      </c>
      <c r="K13" s="8">
        <v>0.0</v>
      </c>
      <c r="L13" s="8" t="s">
        <v>104</v>
      </c>
      <c r="M13" s="8" t="s">
        <v>105</v>
      </c>
      <c r="N13" s="9">
        <v>0.0</v>
      </c>
      <c r="O13" s="9">
        <v>1.0</v>
      </c>
      <c r="P13" s="9">
        <v>0.0</v>
      </c>
      <c r="Q13" s="9">
        <v>0.0</v>
      </c>
      <c r="R13" s="9">
        <v>0.0</v>
      </c>
      <c r="S13" s="9">
        <v>0.0</v>
      </c>
      <c r="T13" s="9">
        <v>0.0</v>
      </c>
      <c r="U13" s="9">
        <v>0.0</v>
      </c>
      <c r="V13" s="9">
        <v>0.0</v>
      </c>
      <c r="W13" s="9">
        <v>0.0</v>
      </c>
      <c r="X13" s="9" t="s">
        <v>106</v>
      </c>
      <c r="Y13" s="11">
        <f t="shared" si="1"/>
        <v>4</v>
      </c>
      <c r="Z13" s="11">
        <f t="shared" si="2"/>
        <v>5</v>
      </c>
      <c r="AA13" s="13" t="s">
        <v>107</v>
      </c>
    </row>
    <row r="14">
      <c r="A14" s="8" t="s">
        <v>108</v>
      </c>
      <c r="B14" s="8" t="s">
        <v>28</v>
      </c>
      <c r="C14" s="8" t="s">
        <v>29</v>
      </c>
      <c r="D14" s="8" t="s">
        <v>109</v>
      </c>
      <c r="E14" s="8" t="s">
        <v>110</v>
      </c>
      <c r="F14" s="8">
        <v>0.38623046875</v>
      </c>
      <c r="G14" s="8" t="s">
        <v>71</v>
      </c>
      <c r="H14" s="8" t="s">
        <v>111</v>
      </c>
      <c r="I14" s="8">
        <v>0.0</v>
      </c>
      <c r="J14" s="8">
        <v>0.0</v>
      </c>
      <c r="K14" s="8">
        <v>6.0</v>
      </c>
      <c r="L14" s="8" t="s">
        <v>112</v>
      </c>
      <c r="M14" s="8" t="s">
        <v>113</v>
      </c>
      <c r="N14" s="9">
        <v>0.0</v>
      </c>
      <c r="O14" s="9">
        <v>0.0</v>
      </c>
      <c r="P14" s="9">
        <v>1.0</v>
      </c>
      <c r="Q14" s="9">
        <v>0.0</v>
      </c>
      <c r="R14" s="9">
        <v>0.0</v>
      </c>
      <c r="S14" s="9">
        <v>0.0</v>
      </c>
      <c r="T14" s="9">
        <v>0.0</v>
      </c>
      <c r="U14" s="9">
        <v>0.0</v>
      </c>
      <c r="V14" s="9">
        <v>0.0</v>
      </c>
      <c r="W14" s="9">
        <v>0.0</v>
      </c>
      <c r="X14" s="9" t="s">
        <v>114</v>
      </c>
      <c r="Y14" s="11">
        <f t="shared" si="1"/>
        <v>4</v>
      </c>
      <c r="Z14" s="11">
        <f t="shared" si="2"/>
        <v>5</v>
      </c>
      <c r="AA14" s="13" t="s">
        <v>115</v>
      </c>
    </row>
    <row r="15">
      <c r="A15" s="8" t="s">
        <v>116</v>
      </c>
      <c r="B15" s="8" t="s">
        <v>28</v>
      </c>
      <c r="C15" s="8" t="s">
        <v>29</v>
      </c>
      <c r="D15" s="8" t="s">
        <v>117</v>
      </c>
      <c r="E15" s="8" t="s">
        <v>118</v>
      </c>
      <c r="F15" s="8">
        <v>0.4734324216842651</v>
      </c>
      <c r="G15" s="8" t="s">
        <v>32</v>
      </c>
      <c r="H15" s="8" t="s">
        <v>119</v>
      </c>
      <c r="I15" s="8">
        <v>1.0</v>
      </c>
      <c r="J15" s="8">
        <v>0.0</v>
      </c>
      <c r="K15" s="8">
        <v>2.0</v>
      </c>
      <c r="L15" s="8" t="s">
        <v>120</v>
      </c>
      <c r="M15" s="8" t="s">
        <v>121</v>
      </c>
      <c r="N15" s="9">
        <v>0.0</v>
      </c>
      <c r="O15" s="9">
        <v>0.0</v>
      </c>
      <c r="P15" s="9">
        <v>0.0</v>
      </c>
      <c r="Q15" s="9">
        <v>0.0</v>
      </c>
      <c r="R15" s="9">
        <v>0.0</v>
      </c>
      <c r="S15" s="9">
        <v>0.0</v>
      </c>
      <c r="T15" s="9">
        <v>0.0</v>
      </c>
      <c r="U15" s="9">
        <v>0.0</v>
      </c>
      <c r="V15" s="9">
        <v>0.0</v>
      </c>
      <c r="W15" s="9">
        <v>0.0</v>
      </c>
      <c r="X15" s="10"/>
      <c r="Y15" s="11">
        <f t="shared" si="1"/>
        <v>5</v>
      </c>
      <c r="Z15" s="11">
        <f t="shared" si="2"/>
        <v>5</v>
      </c>
      <c r="AA15" s="12"/>
    </row>
    <row r="16">
      <c r="A16" s="8" t="s">
        <v>122</v>
      </c>
      <c r="B16" s="8" t="s">
        <v>28</v>
      </c>
      <c r="C16" s="8" t="s">
        <v>29</v>
      </c>
      <c r="D16" s="8" t="s">
        <v>123</v>
      </c>
      <c r="E16" s="8" t="s">
        <v>124</v>
      </c>
      <c r="F16" s="8">
        <v>0.4656308591365814</v>
      </c>
      <c r="G16" s="8" t="s">
        <v>32</v>
      </c>
      <c r="H16" s="8" t="s">
        <v>125</v>
      </c>
      <c r="I16" s="8">
        <v>0.0</v>
      </c>
      <c r="J16" s="8">
        <v>0.0</v>
      </c>
      <c r="K16" s="8">
        <v>2.0</v>
      </c>
      <c r="L16" s="8" t="s">
        <v>126</v>
      </c>
      <c r="M16" s="8" t="s">
        <v>127</v>
      </c>
      <c r="N16" s="9">
        <v>0.0</v>
      </c>
      <c r="O16" s="9">
        <v>0.0</v>
      </c>
      <c r="P16" s="9">
        <v>0.0</v>
      </c>
      <c r="Q16" s="9">
        <v>0.0</v>
      </c>
      <c r="R16" s="9">
        <v>0.0</v>
      </c>
      <c r="S16" s="9">
        <v>1.0</v>
      </c>
      <c r="T16" s="9">
        <v>0.0</v>
      </c>
      <c r="U16" s="9">
        <v>0.0</v>
      </c>
      <c r="V16" s="9">
        <v>0.0</v>
      </c>
      <c r="W16" s="9">
        <v>0.0</v>
      </c>
      <c r="X16" s="9" t="s">
        <v>128</v>
      </c>
      <c r="Y16" s="11">
        <f t="shared" si="1"/>
        <v>5</v>
      </c>
      <c r="Z16" s="11">
        <f t="shared" si="2"/>
        <v>4</v>
      </c>
      <c r="AA16" s="13" t="s">
        <v>129</v>
      </c>
    </row>
    <row r="17">
      <c r="A17" s="8" t="s">
        <v>130</v>
      </c>
      <c r="B17" s="8" t="s">
        <v>28</v>
      </c>
      <c r="C17" s="8" t="s">
        <v>29</v>
      </c>
      <c r="D17" s="8" t="s">
        <v>131</v>
      </c>
      <c r="E17" s="8" t="s">
        <v>132</v>
      </c>
      <c r="F17" s="8">
        <v>0.5609550476074219</v>
      </c>
      <c r="G17" s="8" t="s">
        <v>32</v>
      </c>
      <c r="H17" s="8" t="s">
        <v>133</v>
      </c>
      <c r="I17" s="8">
        <v>0.0</v>
      </c>
      <c r="J17" s="8">
        <v>0.0</v>
      </c>
      <c r="K17" s="8">
        <v>1.0</v>
      </c>
      <c r="L17" s="8" t="s">
        <v>134</v>
      </c>
      <c r="M17" s="8" t="s">
        <v>132</v>
      </c>
      <c r="N17" s="9">
        <v>0.0</v>
      </c>
      <c r="O17" s="9">
        <v>0.0</v>
      </c>
      <c r="P17" s="9">
        <v>1.0</v>
      </c>
      <c r="Q17" s="9">
        <v>0.0</v>
      </c>
      <c r="R17" s="9">
        <v>0.0</v>
      </c>
      <c r="S17" s="9">
        <v>0.0</v>
      </c>
      <c r="T17" s="9">
        <v>0.0</v>
      </c>
      <c r="U17" s="9">
        <v>0.0</v>
      </c>
      <c r="V17" s="9">
        <v>0.0</v>
      </c>
      <c r="W17" s="9">
        <v>0.0</v>
      </c>
      <c r="X17" s="9" t="s">
        <v>135</v>
      </c>
      <c r="Y17" s="11">
        <f t="shared" si="1"/>
        <v>4</v>
      </c>
      <c r="Z17" s="11">
        <f t="shared" si="2"/>
        <v>5</v>
      </c>
      <c r="AA17" s="13" t="s">
        <v>136</v>
      </c>
    </row>
    <row r="18">
      <c r="A18" s="8" t="s">
        <v>137</v>
      </c>
      <c r="B18" s="8" t="s">
        <v>28</v>
      </c>
      <c r="C18" s="8" t="s">
        <v>29</v>
      </c>
      <c r="D18" s="8" t="s">
        <v>138</v>
      </c>
      <c r="E18" s="8" t="s">
        <v>139</v>
      </c>
      <c r="F18" s="8">
        <v>0.5680351257324219</v>
      </c>
      <c r="G18" s="8" t="s">
        <v>32</v>
      </c>
      <c r="H18" s="8" t="s">
        <v>140</v>
      </c>
      <c r="I18" s="8">
        <v>0.0</v>
      </c>
      <c r="J18" s="8">
        <v>0.0</v>
      </c>
      <c r="K18" s="8">
        <v>1.0</v>
      </c>
      <c r="L18" s="8" t="s">
        <v>141</v>
      </c>
      <c r="M18" s="8" t="s">
        <v>142</v>
      </c>
      <c r="N18" s="9">
        <v>0.0</v>
      </c>
      <c r="O18" s="9">
        <v>0.0</v>
      </c>
      <c r="P18" s="9">
        <v>0.0</v>
      </c>
      <c r="Q18" s="9">
        <v>0.0</v>
      </c>
      <c r="R18" s="9">
        <v>0.0</v>
      </c>
      <c r="S18" s="9">
        <v>0.0</v>
      </c>
      <c r="T18" s="9">
        <v>0.0</v>
      </c>
      <c r="U18" s="9">
        <v>0.0</v>
      </c>
      <c r="V18" s="9">
        <v>0.0</v>
      </c>
      <c r="W18" s="9">
        <v>0.0</v>
      </c>
      <c r="X18" s="10"/>
      <c r="Y18" s="11">
        <f t="shared" si="1"/>
        <v>5</v>
      </c>
      <c r="Z18" s="11">
        <f t="shared" si="2"/>
        <v>5</v>
      </c>
      <c r="AA18" s="12"/>
    </row>
    <row r="19">
      <c r="A19" s="8" t="s">
        <v>143</v>
      </c>
      <c r="B19" s="8" t="s">
        <v>28</v>
      </c>
      <c r="C19" s="8" t="s">
        <v>29</v>
      </c>
      <c r="D19" s="8" t="s">
        <v>144</v>
      </c>
      <c r="E19" s="8" t="s">
        <v>145</v>
      </c>
      <c r="F19" s="8">
        <v>0.39990234375</v>
      </c>
      <c r="G19" s="8" t="s">
        <v>71</v>
      </c>
      <c r="H19" s="8" t="s">
        <v>146</v>
      </c>
      <c r="I19" s="8">
        <v>0.0</v>
      </c>
      <c r="J19" s="8">
        <v>0.0</v>
      </c>
      <c r="K19" s="8">
        <v>4.0</v>
      </c>
      <c r="L19" s="8" t="s">
        <v>147</v>
      </c>
      <c r="M19" s="8" t="s">
        <v>148</v>
      </c>
      <c r="N19" s="9">
        <v>0.0</v>
      </c>
      <c r="O19" s="9">
        <v>0.0</v>
      </c>
      <c r="P19" s="9">
        <v>0.0</v>
      </c>
      <c r="Q19" s="9">
        <v>1.0</v>
      </c>
      <c r="R19" s="9">
        <v>0.0</v>
      </c>
      <c r="S19" s="9">
        <v>0.0</v>
      </c>
      <c r="T19" s="9">
        <v>1.0</v>
      </c>
      <c r="U19" s="9">
        <v>0.0</v>
      </c>
      <c r="V19" s="9">
        <v>0.0</v>
      </c>
      <c r="W19" s="9">
        <v>0.0</v>
      </c>
      <c r="X19" s="9" t="s">
        <v>149</v>
      </c>
      <c r="Y19" s="11">
        <f t="shared" si="1"/>
        <v>4</v>
      </c>
      <c r="Z19" s="11">
        <f t="shared" si="2"/>
        <v>4</v>
      </c>
      <c r="AA19" s="13" t="s">
        <v>150</v>
      </c>
    </row>
    <row r="20">
      <c r="A20" s="8" t="s">
        <v>151</v>
      </c>
      <c r="B20" s="8" t="s">
        <v>28</v>
      </c>
      <c r="C20" s="8" t="s">
        <v>29</v>
      </c>
      <c r="D20" s="8" t="s">
        <v>152</v>
      </c>
      <c r="E20" s="8" t="s">
        <v>153</v>
      </c>
      <c r="F20" s="8">
        <v>0.4873593747615814</v>
      </c>
      <c r="G20" s="8" t="s">
        <v>32</v>
      </c>
      <c r="H20" s="8" t="s">
        <v>154</v>
      </c>
      <c r="I20" s="8">
        <v>0.0</v>
      </c>
      <c r="J20" s="8">
        <v>0.0</v>
      </c>
      <c r="K20" s="8">
        <v>2.0</v>
      </c>
      <c r="L20" s="8" t="s">
        <v>155</v>
      </c>
      <c r="M20" s="8" t="s">
        <v>156</v>
      </c>
      <c r="N20" s="9">
        <v>0.0</v>
      </c>
      <c r="O20" s="9">
        <v>0.0</v>
      </c>
      <c r="P20" s="9">
        <v>0.0</v>
      </c>
      <c r="Q20" s="9">
        <v>0.0</v>
      </c>
      <c r="R20" s="9">
        <v>0.0</v>
      </c>
      <c r="S20" s="9">
        <v>0.0</v>
      </c>
      <c r="T20" s="9">
        <v>0.0</v>
      </c>
      <c r="U20" s="9">
        <v>0.0</v>
      </c>
      <c r="V20" s="9">
        <v>0.0</v>
      </c>
      <c r="W20" s="9">
        <v>0.0</v>
      </c>
      <c r="X20" s="10"/>
      <c r="Y20" s="11">
        <f t="shared" si="1"/>
        <v>5</v>
      </c>
      <c r="Z20" s="11">
        <f t="shared" si="2"/>
        <v>5</v>
      </c>
      <c r="AA20" s="12"/>
    </row>
    <row r="21" ht="60.0" customHeight="1">
      <c r="A21" s="8" t="s">
        <v>157</v>
      </c>
      <c r="B21" s="8" t="s">
        <v>28</v>
      </c>
      <c r="C21" s="8" t="s">
        <v>29</v>
      </c>
      <c r="D21" s="8" t="s">
        <v>158</v>
      </c>
      <c r="E21" s="8" t="s">
        <v>159</v>
      </c>
      <c r="F21" s="8">
        <v>0.5738945007324219</v>
      </c>
      <c r="G21" s="8" t="s">
        <v>32</v>
      </c>
      <c r="H21" s="8" t="s">
        <v>160</v>
      </c>
      <c r="I21" s="8">
        <v>0.0</v>
      </c>
      <c r="J21" s="8">
        <v>0.0</v>
      </c>
      <c r="K21" s="8">
        <v>1.0</v>
      </c>
      <c r="L21" s="8" t="s">
        <v>161</v>
      </c>
      <c r="M21" s="8" t="s">
        <v>162</v>
      </c>
      <c r="N21" s="9">
        <v>0.0</v>
      </c>
      <c r="O21" s="9">
        <v>0.0</v>
      </c>
      <c r="P21" s="9">
        <v>0.0</v>
      </c>
      <c r="Q21" s="9">
        <v>1.0</v>
      </c>
      <c r="R21" s="9">
        <v>0.0</v>
      </c>
      <c r="S21" s="9">
        <v>0.0</v>
      </c>
      <c r="T21" s="9">
        <v>0.0</v>
      </c>
      <c r="U21" s="9">
        <v>0.0</v>
      </c>
      <c r="V21" s="9">
        <v>0.0</v>
      </c>
      <c r="W21" s="9">
        <v>0.0</v>
      </c>
      <c r="X21" s="9" t="s">
        <v>159</v>
      </c>
      <c r="Y21" s="11">
        <f t="shared" si="1"/>
        <v>4</v>
      </c>
      <c r="Z21" s="11">
        <f t="shared" si="2"/>
        <v>5</v>
      </c>
      <c r="AA21" s="13" t="s">
        <v>163</v>
      </c>
    </row>
    <row r="22" ht="94.5" customHeight="1">
      <c r="A22" s="8" t="s">
        <v>164</v>
      </c>
      <c r="B22" s="8" t="s">
        <v>28</v>
      </c>
      <c r="C22" s="8" t="s">
        <v>29</v>
      </c>
      <c r="D22" s="8" t="s">
        <v>165</v>
      </c>
      <c r="E22" s="8" t="s">
        <v>166</v>
      </c>
      <c r="F22" s="8">
        <v>0.365478515625</v>
      </c>
      <c r="G22" s="8" t="s">
        <v>71</v>
      </c>
      <c r="H22" s="8" t="s">
        <v>167</v>
      </c>
      <c r="I22" s="8">
        <v>0.0</v>
      </c>
      <c r="J22" s="8">
        <v>0.0</v>
      </c>
      <c r="K22" s="8">
        <v>9.0</v>
      </c>
      <c r="L22" s="8" t="s">
        <v>168</v>
      </c>
      <c r="M22" s="8" t="s">
        <v>169</v>
      </c>
      <c r="N22" s="9">
        <v>0.0</v>
      </c>
      <c r="O22" s="9">
        <v>0.0</v>
      </c>
      <c r="P22" s="9">
        <v>0.0</v>
      </c>
      <c r="Q22" s="9">
        <v>0.0</v>
      </c>
      <c r="R22" s="9">
        <v>0.0</v>
      </c>
      <c r="S22" s="9">
        <v>0.0</v>
      </c>
      <c r="T22" s="9">
        <v>0.0</v>
      </c>
      <c r="U22" s="9">
        <v>0.0</v>
      </c>
      <c r="V22" s="9">
        <v>0.0</v>
      </c>
      <c r="W22" s="9">
        <v>0.0</v>
      </c>
      <c r="X22" s="10"/>
      <c r="Y22" s="11">
        <f t="shared" si="1"/>
        <v>5</v>
      </c>
      <c r="Z22" s="11">
        <f t="shared" si="2"/>
        <v>5</v>
      </c>
      <c r="AA22" s="12"/>
    </row>
    <row r="23" ht="19.5" customHeight="1">
      <c r="A23" s="8" t="s">
        <v>170</v>
      </c>
      <c r="B23" s="8" t="s">
        <v>28</v>
      </c>
      <c r="C23" s="8" t="s">
        <v>29</v>
      </c>
      <c r="D23" s="8" t="s">
        <v>171</v>
      </c>
      <c r="E23" s="8" t="s">
        <v>172</v>
      </c>
      <c r="F23" s="8">
        <v>0.5421562194824219</v>
      </c>
      <c r="G23" s="8" t="s">
        <v>32</v>
      </c>
      <c r="H23" s="8" t="s">
        <v>173</v>
      </c>
      <c r="I23" s="8">
        <v>0.0</v>
      </c>
      <c r="J23" s="8">
        <v>0.0</v>
      </c>
      <c r="K23" s="8">
        <v>1.0</v>
      </c>
      <c r="L23" s="8" t="s">
        <v>174</v>
      </c>
      <c r="M23" s="8" t="s">
        <v>175</v>
      </c>
      <c r="N23" s="9">
        <v>0.0</v>
      </c>
      <c r="O23" s="9">
        <v>0.0</v>
      </c>
      <c r="P23" s="9">
        <v>0.0</v>
      </c>
      <c r="Q23" s="9">
        <v>0.0</v>
      </c>
      <c r="R23" s="9">
        <v>0.0</v>
      </c>
      <c r="S23" s="9">
        <v>0.0</v>
      </c>
      <c r="T23" s="9">
        <v>0.0</v>
      </c>
      <c r="U23" s="9">
        <v>0.0</v>
      </c>
      <c r="V23" s="9">
        <v>0.0</v>
      </c>
      <c r="W23" s="9">
        <v>0.0</v>
      </c>
      <c r="X23" s="10"/>
      <c r="Y23" s="11">
        <f t="shared" si="1"/>
        <v>5</v>
      </c>
      <c r="Z23" s="11">
        <f t="shared" si="2"/>
        <v>5</v>
      </c>
      <c r="AA23" s="12"/>
    </row>
    <row r="24" ht="27.0" customHeight="1">
      <c r="A24" s="8" t="s">
        <v>176</v>
      </c>
      <c r="B24" s="8" t="s">
        <v>28</v>
      </c>
      <c r="C24" s="8" t="s">
        <v>29</v>
      </c>
      <c r="D24" s="8" t="s">
        <v>177</v>
      </c>
      <c r="E24" s="8" t="s">
        <v>178</v>
      </c>
      <c r="F24" s="8">
        <v>0.4004453122615814</v>
      </c>
      <c r="G24" s="8" t="s">
        <v>32</v>
      </c>
      <c r="H24" s="8" t="s">
        <v>179</v>
      </c>
      <c r="I24" s="8">
        <v>0.0</v>
      </c>
      <c r="J24" s="8">
        <v>0.0</v>
      </c>
      <c r="K24" s="8">
        <v>2.0</v>
      </c>
      <c r="L24" s="8" t="s">
        <v>180</v>
      </c>
      <c r="M24" s="8" t="s">
        <v>181</v>
      </c>
      <c r="N24" s="9">
        <v>0.0</v>
      </c>
      <c r="O24" s="9">
        <v>0.0</v>
      </c>
      <c r="P24" s="9">
        <v>0.0</v>
      </c>
      <c r="Q24" s="9">
        <v>0.0</v>
      </c>
      <c r="R24" s="9">
        <v>1.0</v>
      </c>
      <c r="S24" s="9">
        <v>0.0</v>
      </c>
      <c r="T24" s="9">
        <v>0.0</v>
      </c>
      <c r="U24" s="9">
        <v>0.0</v>
      </c>
      <c r="V24" s="9">
        <v>0.0</v>
      </c>
      <c r="W24" s="9">
        <v>0.0</v>
      </c>
      <c r="X24" s="9" t="s">
        <v>182</v>
      </c>
      <c r="Y24" s="11">
        <f t="shared" si="1"/>
        <v>4</v>
      </c>
      <c r="Z24" s="11">
        <f t="shared" si="2"/>
        <v>5</v>
      </c>
      <c r="AA24" s="13" t="s">
        <v>183</v>
      </c>
    </row>
    <row r="25" ht="42.0" customHeight="1">
      <c r="A25" s="8" t="s">
        <v>184</v>
      </c>
      <c r="B25" s="8" t="s">
        <v>28</v>
      </c>
      <c r="C25" s="8" t="s">
        <v>29</v>
      </c>
      <c r="D25" s="8" t="s">
        <v>185</v>
      </c>
      <c r="E25" s="8" t="s">
        <v>186</v>
      </c>
      <c r="F25" s="8">
        <v>0.4402183592319489</v>
      </c>
      <c r="G25" s="8" t="s">
        <v>32</v>
      </c>
      <c r="H25" s="8" t="s">
        <v>187</v>
      </c>
      <c r="I25" s="8">
        <v>2.0</v>
      </c>
      <c r="J25" s="8">
        <v>0.0</v>
      </c>
      <c r="K25" s="8">
        <v>2.0</v>
      </c>
      <c r="L25" s="8" t="s">
        <v>188</v>
      </c>
      <c r="M25" s="8" t="s">
        <v>189</v>
      </c>
      <c r="N25" s="9">
        <v>0.0</v>
      </c>
      <c r="O25" s="9">
        <v>1.0</v>
      </c>
      <c r="P25" s="9">
        <v>1.0</v>
      </c>
      <c r="Q25" s="9">
        <v>0.0</v>
      </c>
      <c r="R25" s="9">
        <v>0.0</v>
      </c>
      <c r="S25" s="9">
        <v>0.0</v>
      </c>
      <c r="T25" s="9">
        <v>0.0</v>
      </c>
      <c r="U25" s="9">
        <v>0.0</v>
      </c>
      <c r="V25" s="9">
        <v>0.0</v>
      </c>
      <c r="W25" s="9">
        <v>0.0</v>
      </c>
      <c r="X25" s="9" t="s">
        <v>190</v>
      </c>
      <c r="Y25" s="11">
        <f t="shared" si="1"/>
        <v>3</v>
      </c>
      <c r="Z25" s="11">
        <f t="shared" si="2"/>
        <v>5</v>
      </c>
      <c r="AA25" s="13" t="s">
        <v>191</v>
      </c>
    </row>
    <row r="26" ht="15.0" customHeight="1">
      <c r="A26" s="8" t="s">
        <v>192</v>
      </c>
      <c r="B26" s="8" t="s">
        <v>28</v>
      </c>
      <c r="C26" s="8" t="s">
        <v>29</v>
      </c>
      <c r="D26" s="8" t="s">
        <v>193</v>
      </c>
      <c r="E26" s="8" t="s">
        <v>194</v>
      </c>
      <c r="F26" s="8">
        <v>0.5926933288574219</v>
      </c>
      <c r="G26" s="8" t="s">
        <v>32</v>
      </c>
      <c r="H26" s="8" t="s">
        <v>195</v>
      </c>
      <c r="I26" s="8">
        <v>0.0</v>
      </c>
      <c r="J26" s="8">
        <v>0.0</v>
      </c>
      <c r="K26" s="8">
        <v>1.0</v>
      </c>
      <c r="L26" s="8" t="s">
        <v>196</v>
      </c>
      <c r="M26" s="8" t="s">
        <v>197</v>
      </c>
      <c r="N26" s="9">
        <v>0.0</v>
      </c>
      <c r="O26" s="9">
        <v>0.0</v>
      </c>
      <c r="P26" s="9">
        <v>1.0</v>
      </c>
      <c r="Q26" s="9">
        <v>0.0</v>
      </c>
      <c r="R26" s="9">
        <v>0.0</v>
      </c>
      <c r="S26" s="9">
        <v>0.0</v>
      </c>
      <c r="T26" s="9">
        <v>0.0</v>
      </c>
      <c r="U26" s="9">
        <v>0.0</v>
      </c>
      <c r="V26" s="9">
        <v>0.0</v>
      </c>
      <c r="W26" s="9">
        <v>0.0</v>
      </c>
      <c r="X26" s="10"/>
      <c r="Y26" s="11">
        <f t="shared" si="1"/>
        <v>4</v>
      </c>
      <c r="Z26" s="11">
        <f t="shared" si="2"/>
        <v>5</v>
      </c>
      <c r="AA26" s="12"/>
    </row>
    <row r="27" ht="30.0" customHeight="1">
      <c r="A27" s="8" t="s">
        <v>198</v>
      </c>
      <c r="B27" s="8" t="s">
        <v>28</v>
      </c>
      <c r="C27" s="8" t="s">
        <v>29</v>
      </c>
      <c r="D27" s="8" t="s">
        <v>199</v>
      </c>
      <c r="E27" s="8" t="s">
        <v>200</v>
      </c>
      <c r="F27" s="8">
        <v>0.4688046872615814</v>
      </c>
      <c r="G27" s="8" t="s">
        <v>32</v>
      </c>
      <c r="H27" s="8" t="s">
        <v>201</v>
      </c>
      <c r="I27" s="8">
        <v>0.0</v>
      </c>
      <c r="J27" s="8">
        <v>0.0</v>
      </c>
      <c r="K27" s="8">
        <v>2.0</v>
      </c>
      <c r="L27" s="8" t="s">
        <v>202</v>
      </c>
      <c r="M27" s="8" t="s">
        <v>203</v>
      </c>
      <c r="N27" s="9">
        <v>0.0</v>
      </c>
      <c r="O27" s="9">
        <v>0.0</v>
      </c>
      <c r="P27" s="9">
        <v>0.0</v>
      </c>
      <c r="Q27" s="9">
        <v>0.0</v>
      </c>
      <c r="R27" s="9">
        <v>0.0</v>
      </c>
      <c r="S27" s="9">
        <v>0.0</v>
      </c>
      <c r="T27" s="9">
        <v>0.0</v>
      </c>
      <c r="U27" s="9">
        <v>0.0</v>
      </c>
      <c r="V27" s="9">
        <v>0.0</v>
      </c>
      <c r="W27" s="9">
        <v>0.0</v>
      </c>
      <c r="X27" s="10"/>
      <c r="Y27" s="11">
        <f t="shared" si="1"/>
        <v>5</v>
      </c>
      <c r="Z27" s="11">
        <f t="shared" si="2"/>
        <v>5</v>
      </c>
      <c r="AA27" s="12"/>
    </row>
    <row r="28" ht="41.25" customHeight="1">
      <c r="A28" s="8" t="s">
        <v>204</v>
      </c>
      <c r="B28" s="8" t="s">
        <v>28</v>
      </c>
      <c r="C28" s="8" t="s">
        <v>29</v>
      </c>
      <c r="D28" s="8" t="s">
        <v>205</v>
      </c>
      <c r="E28" s="8" t="s">
        <v>206</v>
      </c>
      <c r="F28" s="8">
        <v>0.4668406248092651</v>
      </c>
      <c r="G28" s="8" t="s">
        <v>32</v>
      </c>
      <c r="H28" s="8" t="s">
        <v>207</v>
      </c>
      <c r="I28" s="8">
        <v>1.0</v>
      </c>
      <c r="J28" s="8">
        <v>0.0</v>
      </c>
      <c r="K28" s="8">
        <v>2.0</v>
      </c>
      <c r="L28" s="8" t="s">
        <v>208</v>
      </c>
      <c r="M28" s="8" t="s">
        <v>209</v>
      </c>
      <c r="N28" s="9">
        <v>0.0</v>
      </c>
      <c r="O28" s="9">
        <v>0.0</v>
      </c>
      <c r="P28" s="9">
        <v>0.0</v>
      </c>
      <c r="Q28" s="9">
        <v>0.0</v>
      </c>
      <c r="R28" s="9">
        <v>0.0</v>
      </c>
      <c r="S28" s="9">
        <v>0.0</v>
      </c>
      <c r="T28" s="9">
        <v>0.0</v>
      </c>
      <c r="U28" s="9">
        <v>0.0</v>
      </c>
      <c r="V28" s="9">
        <v>0.0</v>
      </c>
      <c r="W28" s="9">
        <v>0.0</v>
      </c>
      <c r="X28" s="10"/>
      <c r="Y28" s="11">
        <f t="shared" si="1"/>
        <v>5</v>
      </c>
      <c r="Z28" s="11">
        <f t="shared" si="2"/>
        <v>5</v>
      </c>
      <c r="AA28" s="12"/>
    </row>
    <row r="29" ht="40.5" customHeight="1">
      <c r="A29" s="8" t="s">
        <v>210</v>
      </c>
      <c r="B29" s="8" t="s">
        <v>28</v>
      </c>
      <c r="C29" s="8" t="s">
        <v>29</v>
      </c>
      <c r="D29" s="8" t="s">
        <v>211</v>
      </c>
      <c r="E29" s="8" t="s">
        <v>212</v>
      </c>
      <c r="F29" s="8">
        <v>0.4731882810592651</v>
      </c>
      <c r="G29" s="8" t="s">
        <v>32</v>
      </c>
      <c r="H29" s="8" t="s">
        <v>213</v>
      </c>
      <c r="I29" s="8">
        <v>1.0</v>
      </c>
      <c r="J29" s="8">
        <v>0.0</v>
      </c>
      <c r="K29" s="8">
        <v>2.0</v>
      </c>
      <c r="L29" s="8" t="s">
        <v>214</v>
      </c>
      <c r="M29" s="8" t="s">
        <v>215</v>
      </c>
      <c r="N29" s="9">
        <v>0.0</v>
      </c>
      <c r="O29" s="9">
        <v>0.0</v>
      </c>
      <c r="P29" s="9">
        <v>0.0</v>
      </c>
      <c r="Q29" s="9">
        <v>0.0</v>
      </c>
      <c r="R29" s="9">
        <v>0.0</v>
      </c>
      <c r="S29" s="9">
        <v>0.0</v>
      </c>
      <c r="T29" s="9">
        <v>0.0</v>
      </c>
      <c r="U29" s="9">
        <v>0.0</v>
      </c>
      <c r="V29" s="9">
        <v>0.0</v>
      </c>
      <c r="W29" s="9">
        <v>0.0</v>
      </c>
      <c r="X29" s="10"/>
      <c r="Y29" s="11">
        <f t="shared" si="1"/>
        <v>5</v>
      </c>
      <c r="Z29" s="11">
        <f t="shared" si="2"/>
        <v>5</v>
      </c>
      <c r="AA29" s="12"/>
    </row>
    <row r="30" ht="44.25" customHeight="1">
      <c r="A30" s="8" t="s">
        <v>216</v>
      </c>
      <c r="B30" s="8" t="s">
        <v>28</v>
      </c>
      <c r="C30" s="8" t="s">
        <v>29</v>
      </c>
      <c r="D30" s="8" t="s">
        <v>217</v>
      </c>
      <c r="E30" s="8" t="s">
        <v>218</v>
      </c>
      <c r="F30" s="8">
        <v>0.5792655944824219</v>
      </c>
      <c r="G30" s="8" t="s">
        <v>32</v>
      </c>
      <c r="H30" s="8" t="s">
        <v>219</v>
      </c>
      <c r="I30" s="8">
        <v>0.0</v>
      </c>
      <c r="J30" s="8">
        <v>0.0</v>
      </c>
      <c r="K30" s="8">
        <v>1.0</v>
      </c>
      <c r="L30" s="8" t="s">
        <v>220</v>
      </c>
      <c r="M30" s="8" t="s">
        <v>221</v>
      </c>
      <c r="N30" s="9">
        <v>0.0</v>
      </c>
      <c r="O30" s="9">
        <v>1.0</v>
      </c>
      <c r="P30" s="9">
        <v>0.0</v>
      </c>
      <c r="Q30" s="9">
        <v>0.0</v>
      </c>
      <c r="R30" s="9">
        <v>0.0</v>
      </c>
      <c r="S30" s="9">
        <v>0.0</v>
      </c>
      <c r="T30" s="9">
        <v>0.0</v>
      </c>
      <c r="U30" s="9">
        <v>0.0</v>
      </c>
      <c r="V30" s="9">
        <v>0.0</v>
      </c>
      <c r="W30" s="9">
        <v>0.0</v>
      </c>
      <c r="X30" s="9" t="s">
        <v>218</v>
      </c>
      <c r="Y30" s="11">
        <f t="shared" si="1"/>
        <v>4</v>
      </c>
      <c r="Z30" s="11">
        <f t="shared" si="2"/>
        <v>5</v>
      </c>
      <c r="AA30" s="13" t="s">
        <v>222</v>
      </c>
    </row>
    <row r="31" ht="43.5" customHeight="1">
      <c r="A31" s="8" t="s">
        <v>223</v>
      </c>
      <c r="B31" s="8" t="s">
        <v>28</v>
      </c>
      <c r="C31" s="8" t="s">
        <v>29</v>
      </c>
      <c r="D31" s="8" t="s">
        <v>224</v>
      </c>
      <c r="E31" s="8" t="s">
        <v>225</v>
      </c>
      <c r="F31" s="8">
        <v>0.4031308591365814</v>
      </c>
      <c r="G31" s="8" t="s">
        <v>32</v>
      </c>
      <c r="H31" s="8" t="s">
        <v>226</v>
      </c>
      <c r="I31" s="8">
        <v>0.0</v>
      </c>
      <c r="J31" s="8">
        <v>0.0</v>
      </c>
      <c r="K31" s="8">
        <v>2.0</v>
      </c>
      <c r="L31" s="8"/>
      <c r="M31" s="8" t="s">
        <v>227</v>
      </c>
      <c r="N31" s="9">
        <v>0.0</v>
      </c>
      <c r="O31" s="9">
        <v>0.0</v>
      </c>
      <c r="P31" s="9">
        <v>0.0</v>
      </c>
      <c r="Q31" s="9">
        <v>0.0</v>
      </c>
      <c r="R31" s="9">
        <v>0.0</v>
      </c>
      <c r="S31" s="9">
        <v>0.0</v>
      </c>
      <c r="T31" s="9">
        <v>0.0</v>
      </c>
      <c r="U31" s="9">
        <v>0.0</v>
      </c>
      <c r="V31" s="9">
        <v>0.0</v>
      </c>
      <c r="W31" s="9">
        <v>0.0</v>
      </c>
      <c r="X31" s="10"/>
      <c r="Y31" s="11">
        <f t="shared" si="1"/>
        <v>5</v>
      </c>
      <c r="Z31" s="11">
        <f t="shared" si="2"/>
        <v>5</v>
      </c>
      <c r="AA31" s="12"/>
    </row>
    <row r="32" ht="32.25" customHeight="1">
      <c r="A32" s="8" t="s">
        <v>228</v>
      </c>
      <c r="B32" s="8" t="s">
        <v>28</v>
      </c>
      <c r="C32" s="8" t="s">
        <v>29</v>
      </c>
      <c r="D32" s="8" t="s">
        <v>229</v>
      </c>
      <c r="E32" s="8" t="s">
        <v>230</v>
      </c>
      <c r="F32" s="8">
        <v>0.5059140920639038</v>
      </c>
      <c r="G32" s="8" t="s">
        <v>32</v>
      </c>
      <c r="H32" s="8" t="s">
        <v>231</v>
      </c>
      <c r="I32" s="8">
        <v>0.0</v>
      </c>
      <c r="J32" s="8">
        <v>0.0</v>
      </c>
      <c r="K32" s="8">
        <v>2.0</v>
      </c>
      <c r="L32" s="8" t="s">
        <v>232</v>
      </c>
      <c r="M32" s="8" t="s">
        <v>233</v>
      </c>
      <c r="N32" s="9">
        <v>0.0</v>
      </c>
      <c r="O32" s="9">
        <v>0.0</v>
      </c>
      <c r="P32" s="9">
        <v>0.0</v>
      </c>
      <c r="Q32" s="9">
        <v>0.0</v>
      </c>
      <c r="R32" s="9">
        <v>0.0</v>
      </c>
      <c r="S32" s="9">
        <v>0.0</v>
      </c>
      <c r="T32" s="9">
        <v>0.0</v>
      </c>
      <c r="U32" s="9">
        <v>0.0</v>
      </c>
      <c r="V32" s="9">
        <v>0.0</v>
      </c>
      <c r="W32" s="9">
        <v>0.0</v>
      </c>
      <c r="X32" s="10"/>
      <c r="Y32" s="11">
        <f t="shared" si="1"/>
        <v>5</v>
      </c>
      <c r="Z32" s="11">
        <f t="shared" si="2"/>
        <v>5</v>
      </c>
      <c r="AA32" s="12"/>
    </row>
    <row r="33" ht="69.75" customHeight="1">
      <c r="A33" s="8" t="s">
        <v>234</v>
      </c>
      <c r="B33" s="8" t="s">
        <v>28</v>
      </c>
      <c r="C33" s="8" t="s">
        <v>29</v>
      </c>
      <c r="D33" s="8" t="s">
        <v>235</v>
      </c>
      <c r="E33" s="8" t="s">
        <v>236</v>
      </c>
      <c r="F33" s="8">
        <v>0.412841796875</v>
      </c>
      <c r="G33" s="8" t="s">
        <v>32</v>
      </c>
      <c r="H33" s="8" t="s">
        <v>237</v>
      </c>
      <c r="I33" s="8">
        <v>0.0</v>
      </c>
      <c r="J33" s="8">
        <v>0.0</v>
      </c>
      <c r="K33" s="8">
        <v>4.0</v>
      </c>
      <c r="L33" s="8" t="s">
        <v>238</v>
      </c>
      <c r="M33" s="8" t="s">
        <v>236</v>
      </c>
      <c r="N33" s="9">
        <v>0.0</v>
      </c>
      <c r="O33" s="9">
        <v>0.0</v>
      </c>
      <c r="P33" s="9">
        <v>0.0</v>
      </c>
      <c r="Q33" s="9">
        <v>0.0</v>
      </c>
      <c r="R33" s="9">
        <v>0.0</v>
      </c>
      <c r="S33" s="9">
        <v>0.0</v>
      </c>
      <c r="T33" s="9">
        <v>0.0</v>
      </c>
      <c r="U33" s="9">
        <v>0.0</v>
      </c>
      <c r="V33" s="9">
        <v>0.0</v>
      </c>
      <c r="W33" s="9">
        <v>0.0</v>
      </c>
      <c r="X33" s="10"/>
      <c r="Y33" s="11">
        <f t="shared" si="1"/>
        <v>5</v>
      </c>
      <c r="Z33" s="11">
        <f t="shared" si="2"/>
        <v>5</v>
      </c>
      <c r="AA33" s="12"/>
    </row>
    <row r="34" ht="31.5" customHeight="1">
      <c r="A34" s="8" t="s">
        <v>239</v>
      </c>
      <c r="B34" s="8" t="s">
        <v>28</v>
      </c>
      <c r="C34" s="8" t="s">
        <v>29</v>
      </c>
      <c r="D34" s="8" t="s">
        <v>240</v>
      </c>
      <c r="E34" s="8" t="s">
        <v>241</v>
      </c>
      <c r="F34" s="8">
        <v>0.5907949209213257</v>
      </c>
      <c r="G34" s="8" t="s">
        <v>32</v>
      </c>
      <c r="H34" s="8" t="s">
        <v>242</v>
      </c>
      <c r="I34" s="8">
        <v>0.0</v>
      </c>
      <c r="J34" s="8">
        <v>1.0</v>
      </c>
      <c r="K34" s="8">
        <v>0.0</v>
      </c>
      <c r="L34" s="8" t="s">
        <v>243</v>
      </c>
      <c r="M34" s="8" t="s">
        <v>244</v>
      </c>
      <c r="N34" s="9">
        <v>0.0</v>
      </c>
      <c r="O34" s="9">
        <v>1.0</v>
      </c>
      <c r="P34" s="9">
        <v>0.0</v>
      </c>
      <c r="Q34" s="9">
        <v>0.0</v>
      </c>
      <c r="R34" s="9">
        <v>0.0</v>
      </c>
      <c r="S34" s="9">
        <v>0.0</v>
      </c>
      <c r="T34" s="9">
        <v>0.0</v>
      </c>
      <c r="U34" s="9">
        <v>0.0</v>
      </c>
      <c r="V34" s="9">
        <v>0.0</v>
      </c>
      <c r="W34" s="9">
        <v>0.0</v>
      </c>
      <c r="X34" s="9" t="s">
        <v>245</v>
      </c>
      <c r="Y34" s="11">
        <f t="shared" si="1"/>
        <v>4</v>
      </c>
      <c r="Z34" s="11">
        <f t="shared" si="2"/>
        <v>5</v>
      </c>
      <c r="AA34" s="13" t="s">
        <v>246</v>
      </c>
    </row>
    <row r="35" ht="58.5" customHeight="1">
      <c r="A35" s="8" t="s">
        <v>247</v>
      </c>
      <c r="B35" s="8" t="s">
        <v>28</v>
      </c>
      <c r="C35" s="8" t="s">
        <v>29</v>
      </c>
      <c r="D35" s="8" t="s">
        <v>248</v>
      </c>
      <c r="E35" s="8" t="s">
        <v>249</v>
      </c>
      <c r="F35" s="8">
        <v>0.5792655944824219</v>
      </c>
      <c r="G35" s="8" t="s">
        <v>32</v>
      </c>
      <c r="H35" s="8" t="s">
        <v>250</v>
      </c>
      <c r="I35" s="8">
        <v>0.0</v>
      </c>
      <c r="J35" s="8">
        <v>0.0</v>
      </c>
      <c r="K35" s="8">
        <v>1.0</v>
      </c>
      <c r="L35" s="8" t="s">
        <v>251</v>
      </c>
      <c r="M35" s="8" t="s">
        <v>252</v>
      </c>
      <c r="N35" s="9">
        <v>0.0</v>
      </c>
      <c r="O35" s="9">
        <v>0.0</v>
      </c>
      <c r="P35" s="9">
        <v>0.0</v>
      </c>
      <c r="Q35" s="9">
        <v>0.0</v>
      </c>
      <c r="R35" s="9">
        <v>0.0</v>
      </c>
      <c r="S35" s="9">
        <v>0.0</v>
      </c>
      <c r="T35" s="9">
        <v>0.0</v>
      </c>
      <c r="U35" s="9">
        <v>0.0</v>
      </c>
      <c r="V35" s="9">
        <v>0.0</v>
      </c>
      <c r="W35" s="9">
        <v>0.0</v>
      </c>
      <c r="X35" s="10"/>
      <c r="Y35" s="11">
        <f t="shared" si="1"/>
        <v>5</v>
      </c>
      <c r="Z35" s="11">
        <f t="shared" si="2"/>
        <v>5</v>
      </c>
      <c r="AA35" s="12"/>
    </row>
    <row r="36" ht="17.25" customHeight="1">
      <c r="A36" s="8" t="s">
        <v>253</v>
      </c>
      <c r="B36" s="8" t="s">
        <v>28</v>
      </c>
      <c r="C36" s="8" t="s">
        <v>29</v>
      </c>
      <c r="D36" s="8" t="s">
        <v>254</v>
      </c>
      <c r="E36" s="8" t="s">
        <v>255</v>
      </c>
      <c r="F36" s="8">
        <v>0.5049265623092651</v>
      </c>
      <c r="G36" s="8" t="s">
        <v>32</v>
      </c>
      <c r="H36" s="8" t="s">
        <v>256</v>
      </c>
      <c r="I36" s="8">
        <v>1.0</v>
      </c>
      <c r="J36" s="8">
        <v>0.0</v>
      </c>
      <c r="K36" s="8">
        <v>2.0</v>
      </c>
      <c r="L36" s="8" t="s">
        <v>257</v>
      </c>
      <c r="M36" s="8" t="s">
        <v>255</v>
      </c>
      <c r="N36" s="9">
        <v>0.0</v>
      </c>
      <c r="O36" s="9">
        <v>0.0</v>
      </c>
      <c r="P36" s="9">
        <v>0.0</v>
      </c>
      <c r="Q36" s="9">
        <v>0.0</v>
      </c>
      <c r="R36" s="9">
        <v>0.0</v>
      </c>
      <c r="S36" s="9">
        <v>0.0</v>
      </c>
      <c r="T36" s="9">
        <v>0.0</v>
      </c>
      <c r="U36" s="9">
        <v>0.0</v>
      </c>
      <c r="V36" s="10"/>
      <c r="W36" s="10"/>
      <c r="X36" s="10"/>
      <c r="Y36" s="11">
        <f t="shared" si="1"/>
        <v>5</v>
      </c>
      <c r="Z36" s="11">
        <f t="shared" si="2"/>
        <v>5</v>
      </c>
      <c r="AA36" s="12"/>
    </row>
    <row r="37" ht="32.25" customHeight="1">
      <c r="A37" s="8" t="s">
        <v>258</v>
      </c>
      <c r="B37" s="8" t="s">
        <v>28</v>
      </c>
      <c r="C37" s="8" t="s">
        <v>29</v>
      </c>
      <c r="D37" s="8" t="s">
        <v>259</v>
      </c>
      <c r="E37" s="8" t="s">
        <v>260</v>
      </c>
      <c r="F37" s="8">
        <v>0.4902890622615814</v>
      </c>
      <c r="G37" s="8" t="s">
        <v>32</v>
      </c>
      <c r="H37" s="8" t="s">
        <v>261</v>
      </c>
      <c r="I37" s="8">
        <v>0.0</v>
      </c>
      <c r="J37" s="8">
        <v>0.0</v>
      </c>
      <c r="K37" s="8">
        <v>2.0</v>
      </c>
      <c r="L37" s="8" t="s">
        <v>262</v>
      </c>
      <c r="M37" s="8" t="s">
        <v>263</v>
      </c>
      <c r="N37" s="10"/>
      <c r="O37" s="10"/>
      <c r="P37" s="10"/>
      <c r="Q37" s="10"/>
      <c r="R37" s="10"/>
      <c r="S37" s="10"/>
      <c r="T37" s="10"/>
      <c r="U37" s="10"/>
      <c r="V37" s="10"/>
      <c r="W37" s="10"/>
      <c r="X37" s="10"/>
      <c r="Y37" s="11">
        <f t="shared" si="1"/>
        <v>5</v>
      </c>
      <c r="Z37" s="11">
        <f t="shared" si="2"/>
        <v>5</v>
      </c>
      <c r="AA37" s="12"/>
    </row>
    <row r="38" ht="30.75" customHeight="1">
      <c r="A38" s="8" t="s">
        <v>264</v>
      </c>
      <c r="B38" s="8" t="s">
        <v>28</v>
      </c>
      <c r="C38" s="8" t="s">
        <v>29</v>
      </c>
      <c r="D38" s="8" t="s">
        <v>265</v>
      </c>
      <c r="E38" s="8" t="s">
        <v>266</v>
      </c>
      <c r="F38" s="8">
        <v>0.4595273435115814</v>
      </c>
      <c r="G38" s="8" t="s">
        <v>32</v>
      </c>
      <c r="H38" s="8" t="s">
        <v>267</v>
      </c>
      <c r="I38" s="8">
        <v>0.0</v>
      </c>
      <c r="J38" s="8">
        <v>0.0</v>
      </c>
      <c r="K38" s="8">
        <v>2.0</v>
      </c>
      <c r="L38" s="8" t="s">
        <v>268</v>
      </c>
      <c r="M38" s="8" t="s">
        <v>269</v>
      </c>
      <c r="N38" s="9">
        <v>0.0</v>
      </c>
      <c r="O38" s="9">
        <v>0.0</v>
      </c>
      <c r="P38" s="9">
        <v>0.0</v>
      </c>
      <c r="Q38" s="9">
        <v>0.0</v>
      </c>
      <c r="R38" s="9">
        <v>0.0</v>
      </c>
      <c r="S38" s="9">
        <v>0.0</v>
      </c>
      <c r="T38" s="9">
        <v>0.0</v>
      </c>
      <c r="U38" s="9">
        <v>0.0</v>
      </c>
      <c r="V38" s="9">
        <v>0.0</v>
      </c>
      <c r="W38" s="9">
        <v>0.0</v>
      </c>
      <c r="X38" s="10"/>
      <c r="Y38" s="11">
        <f t="shared" si="1"/>
        <v>5</v>
      </c>
      <c r="Z38" s="11">
        <f t="shared" si="2"/>
        <v>5</v>
      </c>
      <c r="AA38" s="12"/>
    </row>
    <row r="39" ht="53.25" customHeight="1">
      <c r="A39" s="8" t="s">
        <v>270</v>
      </c>
      <c r="B39" s="8" t="s">
        <v>28</v>
      </c>
      <c r="C39" s="8" t="s">
        <v>29</v>
      </c>
      <c r="D39" s="8" t="s">
        <v>271</v>
      </c>
      <c r="E39" s="8" t="s">
        <v>272</v>
      </c>
      <c r="F39" s="8">
        <v>0.5997734069824219</v>
      </c>
      <c r="G39" s="8" t="s">
        <v>32</v>
      </c>
      <c r="H39" s="8" t="s">
        <v>273</v>
      </c>
      <c r="I39" s="8">
        <v>0.0</v>
      </c>
      <c r="J39" s="8">
        <v>0.0</v>
      </c>
      <c r="K39" s="8">
        <v>1.0</v>
      </c>
      <c r="L39" s="8" t="s">
        <v>274</v>
      </c>
      <c r="M39" s="8" t="s">
        <v>275</v>
      </c>
      <c r="N39" s="9">
        <v>1.0</v>
      </c>
      <c r="O39" s="9">
        <v>1.0</v>
      </c>
      <c r="P39" s="9">
        <v>0.0</v>
      </c>
      <c r="Q39" s="9">
        <v>0.0</v>
      </c>
      <c r="R39" s="9">
        <v>0.0</v>
      </c>
      <c r="S39" s="9">
        <v>1.0</v>
      </c>
      <c r="T39" s="9">
        <v>0.0</v>
      </c>
      <c r="U39" s="9">
        <v>0.0</v>
      </c>
      <c r="V39" s="9">
        <v>0.0</v>
      </c>
      <c r="W39" s="9">
        <v>0.0</v>
      </c>
      <c r="X39" s="9" t="s">
        <v>276</v>
      </c>
      <c r="Y39" s="11">
        <f t="shared" si="1"/>
        <v>3</v>
      </c>
      <c r="Z39" s="11">
        <f t="shared" si="2"/>
        <v>4</v>
      </c>
      <c r="AA39" s="13" t="s">
        <v>277</v>
      </c>
    </row>
    <row r="40" ht="44.25" customHeight="1">
      <c r="A40" s="8" t="s">
        <v>278</v>
      </c>
      <c r="B40" s="8" t="s">
        <v>28</v>
      </c>
      <c r="C40" s="8" t="s">
        <v>29</v>
      </c>
      <c r="D40" s="8" t="s">
        <v>279</v>
      </c>
      <c r="E40" s="8" t="s">
        <v>280</v>
      </c>
      <c r="F40" s="8">
        <v>0.4758847653865814</v>
      </c>
      <c r="G40" s="8" t="s">
        <v>32</v>
      </c>
      <c r="H40" s="8" t="s">
        <v>281</v>
      </c>
      <c r="I40" s="8">
        <v>0.0</v>
      </c>
      <c r="J40" s="8">
        <v>0.0</v>
      </c>
      <c r="K40" s="8">
        <v>2.0</v>
      </c>
      <c r="L40" s="8" t="s">
        <v>282</v>
      </c>
      <c r="M40" s="8" t="s">
        <v>283</v>
      </c>
      <c r="N40" s="9">
        <v>0.0</v>
      </c>
      <c r="O40" s="9">
        <v>0.0</v>
      </c>
      <c r="P40" s="9">
        <v>0.0</v>
      </c>
      <c r="Q40" s="9">
        <v>0.0</v>
      </c>
      <c r="R40" s="9">
        <v>0.0</v>
      </c>
      <c r="S40" s="9">
        <v>0.0</v>
      </c>
      <c r="T40" s="9">
        <v>0.0</v>
      </c>
      <c r="U40" s="9">
        <v>0.0</v>
      </c>
      <c r="V40" s="9">
        <v>0.0</v>
      </c>
      <c r="W40" s="9">
        <v>0.0</v>
      </c>
      <c r="X40" s="10"/>
      <c r="Y40" s="11">
        <f t="shared" si="1"/>
        <v>5</v>
      </c>
      <c r="Z40" s="11">
        <f t="shared" si="2"/>
        <v>5</v>
      </c>
      <c r="AA40" s="12"/>
    </row>
    <row r="41" ht="33.75" customHeight="1">
      <c r="A41" s="8" t="s">
        <v>284</v>
      </c>
      <c r="B41" s="8" t="s">
        <v>28</v>
      </c>
      <c r="C41" s="8" t="s">
        <v>29</v>
      </c>
      <c r="D41" s="8" t="s">
        <v>285</v>
      </c>
      <c r="E41" s="8" t="s">
        <v>286</v>
      </c>
      <c r="F41" s="8">
        <v>0.37841796875</v>
      </c>
      <c r="G41" s="8" t="s">
        <v>71</v>
      </c>
      <c r="H41" s="8" t="s">
        <v>287</v>
      </c>
      <c r="I41" s="8">
        <v>0.0</v>
      </c>
      <c r="J41" s="8">
        <v>0.0</v>
      </c>
      <c r="K41" s="8">
        <v>4.0</v>
      </c>
      <c r="L41" s="8" t="s">
        <v>288</v>
      </c>
      <c r="M41" s="8" t="s">
        <v>289</v>
      </c>
      <c r="N41" s="9">
        <v>0.0</v>
      </c>
      <c r="O41" s="9">
        <v>1.0</v>
      </c>
      <c r="P41" s="9">
        <v>0.0</v>
      </c>
      <c r="Q41" s="9">
        <v>1.0</v>
      </c>
      <c r="R41" s="9">
        <v>0.0</v>
      </c>
      <c r="S41" s="9">
        <v>0.0</v>
      </c>
      <c r="T41" s="9">
        <v>0.0</v>
      </c>
      <c r="U41" s="9">
        <v>0.0</v>
      </c>
      <c r="V41" s="9">
        <v>0.0</v>
      </c>
      <c r="W41" s="9">
        <v>0.0</v>
      </c>
      <c r="X41" s="9" t="s">
        <v>290</v>
      </c>
      <c r="Y41" s="11">
        <f t="shared" si="1"/>
        <v>3</v>
      </c>
      <c r="Z41" s="11">
        <f t="shared" si="2"/>
        <v>5</v>
      </c>
      <c r="AA41" s="13" t="s">
        <v>291</v>
      </c>
    </row>
    <row r="42" ht="47.25" customHeight="1">
      <c r="A42" s="8" t="s">
        <v>292</v>
      </c>
      <c r="B42" s="8" t="s">
        <v>28</v>
      </c>
      <c r="C42" s="8" t="s">
        <v>29</v>
      </c>
      <c r="D42" s="8" t="s">
        <v>293</v>
      </c>
      <c r="E42" s="8" t="s">
        <v>294</v>
      </c>
      <c r="F42" s="8">
        <v>0.430908203125</v>
      </c>
      <c r="G42" s="8" t="s">
        <v>32</v>
      </c>
      <c r="H42" s="8" t="s">
        <v>295</v>
      </c>
      <c r="I42" s="8">
        <v>0.0</v>
      </c>
      <c r="J42" s="8">
        <v>0.0</v>
      </c>
      <c r="K42" s="8">
        <v>3.0</v>
      </c>
      <c r="L42" s="8" t="s">
        <v>296</v>
      </c>
      <c r="M42" s="8" t="s">
        <v>297</v>
      </c>
      <c r="N42" s="9">
        <v>0.0</v>
      </c>
      <c r="O42" s="9">
        <v>0.0</v>
      </c>
      <c r="P42" s="9">
        <v>0.0</v>
      </c>
      <c r="Q42" s="9">
        <v>0.0</v>
      </c>
      <c r="R42" s="9">
        <v>0.0</v>
      </c>
      <c r="S42" s="9">
        <v>0.0</v>
      </c>
      <c r="T42" s="9">
        <v>0.0</v>
      </c>
      <c r="U42" s="9">
        <v>0.0</v>
      </c>
      <c r="V42" s="9">
        <v>0.0</v>
      </c>
      <c r="W42" s="9">
        <v>0.0</v>
      </c>
      <c r="X42" s="10"/>
      <c r="Y42" s="11">
        <f t="shared" si="1"/>
        <v>5</v>
      </c>
      <c r="Z42" s="11">
        <f t="shared" si="2"/>
        <v>5</v>
      </c>
      <c r="AA42" s="12"/>
    </row>
    <row r="43" ht="33.75" customHeight="1">
      <c r="A43" s="8" t="s">
        <v>298</v>
      </c>
      <c r="B43" s="8" t="s">
        <v>28</v>
      </c>
      <c r="C43" s="8" t="s">
        <v>29</v>
      </c>
      <c r="D43" s="8" t="s">
        <v>299</v>
      </c>
      <c r="E43" s="8" t="s">
        <v>300</v>
      </c>
      <c r="F43" s="8">
        <v>0.5597343444824219</v>
      </c>
      <c r="G43" s="8" t="s">
        <v>32</v>
      </c>
      <c r="H43" s="8" t="s">
        <v>301</v>
      </c>
      <c r="I43" s="8">
        <v>0.0</v>
      </c>
      <c r="J43" s="8">
        <v>0.0</v>
      </c>
      <c r="K43" s="8">
        <v>1.0</v>
      </c>
      <c r="L43" s="8" t="s">
        <v>302</v>
      </c>
      <c r="M43" s="8" t="s">
        <v>300</v>
      </c>
      <c r="N43" s="9">
        <v>0.0</v>
      </c>
      <c r="O43" s="9">
        <v>0.0</v>
      </c>
      <c r="P43" s="9">
        <v>0.0</v>
      </c>
      <c r="Q43" s="9">
        <v>0.0</v>
      </c>
      <c r="R43" s="9">
        <v>0.0</v>
      </c>
      <c r="S43" s="9">
        <v>0.0</v>
      </c>
      <c r="T43" s="9">
        <v>0.0</v>
      </c>
      <c r="U43" s="9">
        <v>0.0</v>
      </c>
      <c r="V43" s="9">
        <v>0.0</v>
      </c>
      <c r="W43" s="9">
        <v>0.0</v>
      </c>
      <c r="X43" s="10"/>
      <c r="Y43" s="11">
        <f t="shared" si="1"/>
        <v>5</v>
      </c>
      <c r="Z43" s="11">
        <f t="shared" si="2"/>
        <v>5</v>
      </c>
      <c r="AA43" s="12"/>
    </row>
    <row r="44" ht="104.25" customHeight="1">
      <c r="A44" s="8" t="s">
        <v>303</v>
      </c>
      <c r="B44" s="8" t="s">
        <v>28</v>
      </c>
      <c r="C44" s="8" t="s">
        <v>29</v>
      </c>
      <c r="D44" s="8" t="s">
        <v>304</v>
      </c>
      <c r="E44" s="8" t="s">
        <v>305</v>
      </c>
      <c r="F44" s="8">
        <v>0.5853691101074219</v>
      </c>
      <c r="G44" s="8" t="s">
        <v>32</v>
      </c>
      <c r="H44" s="8" t="s">
        <v>306</v>
      </c>
      <c r="I44" s="8">
        <v>0.0</v>
      </c>
      <c r="J44" s="8">
        <v>0.0</v>
      </c>
      <c r="K44" s="8">
        <v>1.0</v>
      </c>
      <c r="L44" s="8" t="s">
        <v>307</v>
      </c>
      <c r="M44" s="8" t="s">
        <v>305</v>
      </c>
      <c r="N44" s="9">
        <v>1.0</v>
      </c>
      <c r="O44" s="9">
        <v>0.0</v>
      </c>
      <c r="P44" s="9">
        <v>1.0</v>
      </c>
      <c r="Q44" s="9">
        <v>0.0</v>
      </c>
      <c r="R44" s="9">
        <v>0.0</v>
      </c>
      <c r="S44" s="9">
        <v>1.0</v>
      </c>
      <c r="T44" s="9">
        <v>0.0</v>
      </c>
      <c r="U44" s="9">
        <v>0.0</v>
      </c>
      <c r="V44" s="9">
        <v>0.0</v>
      </c>
      <c r="W44" s="9">
        <v>0.0</v>
      </c>
      <c r="X44" s="9" t="s">
        <v>308</v>
      </c>
      <c r="Y44" s="11">
        <f t="shared" si="1"/>
        <v>3</v>
      </c>
      <c r="Z44" s="11">
        <f t="shared" si="2"/>
        <v>4</v>
      </c>
      <c r="AA44" s="13" t="s">
        <v>309</v>
      </c>
    </row>
    <row r="45" ht="44.25" customHeight="1">
      <c r="A45" s="8" t="s">
        <v>310</v>
      </c>
      <c r="B45" s="8" t="s">
        <v>28</v>
      </c>
      <c r="C45" s="8" t="s">
        <v>29</v>
      </c>
      <c r="D45" s="8" t="s">
        <v>311</v>
      </c>
      <c r="E45" s="8" t="s">
        <v>312</v>
      </c>
      <c r="F45" s="8">
        <v>0.5775566101074219</v>
      </c>
      <c r="G45" s="8" t="s">
        <v>32</v>
      </c>
      <c r="H45" s="8" t="s">
        <v>313</v>
      </c>
      <c r="I45" s="8">
        <v>0.0</v>
      </c>
      <c r="J45" s="8">
        <v>0.0</v>
      </c>
      <c r="K45" s="8">
        <v>1.0</v>
      </c>
      <c r="L45" s="8" t="s">
        <v>314</v>
      </c>
      <c r="M45" s="8" t="s">
        <v>315</v>
      </c>
      <c r="N45" s="9">
        <v>0.0</v>
      </c>
      <c r="O45" s="9">
        <v>0.0</v>
      </c>
      <c r="P45" s="9">
        <v>1.0</v>
      </c>
      <c r="Q45" s="9">
        <v>1.0</v>
      </c>
      <c r="R45" s="9">
        <v>0.0</v>
      </c>
      <c r="S45" s="9">
        <v>0.0</v>
      </c>
      <c r="T45" s="9">
        <v>0.0</v>
      </c>
      <c r="U45" s="9">
        <v>0.0</v>
      </c>
      <c r="V45" s="9">
        <v>0.0</v>
      </c>
      <c r="W45" s="9">
        <v>0.0</v>
      </c>
      <c r="X45" s="9" t="s">
        <v>312</v>
      </c>
      <c r="Y45" s="11">
        <f t="shared" si="1"/>
        <v>3</v>
      </c>
      <c r="Z45" s="11">
        <f t="shared" si="2"/>
        <v>5</v>
      </c>
      <c r="AA45" s="13" t="s">
        <v>316</v>
      </c>
    </row>
    <row r="46" ht="60.0" customHeight="1">
      <c r="A46" s="8" t="s">
        <v>317</v>
      </c>
      <c r="B46" s="8" t="s">
        <v>28</v>
      </c>
      <c r="C46" s="8" t="s">
        <v>29</v>
      </c>
      <c r="D46" s="8" t="s">
        <v>318</v>
      </c>
      <c r="E46" s="8" t="s">
        <v>319</v>
      </c>
      <c r="F46" s="8">
        <v>0.39453125</v>
      </c>
      <c r="G46" s="8" t="s">
        <v>71</v>
      </c>
      <c r="H46" s="8" t="s">
        <v>320</v>
      </c>
      <c r="I46" s="8">
        <v>0.0</v>
      </c>
      <c r="J46" s="8">
        <v>1.0</v>
      </c>
      <c r="K46" s="8">
        <v>2.0</v>
      </c>
      <c r="L46" s="8" t="s">
        <v>321</v>
      </c>
      <c r="M46" s="8" t="s">
        <v>322</v>
      </c>
      <c r="N46" s="9">
        <v>0.0</v>
      </c>
      <c r="O46" s="9">
        <v>1.0</v>
      </c>
      <c r="P46" s="9">
        <v>1.0</v>
      </c>
      <c r="Q46" s="9">
        <v>0.0</v>
      </c>
      <c r="R46" s="9">
        <v>0.0</v>
      </c>
      <c r="S46" s="9">
        <v>0.0</v>
      </c>
      <c r="T46" s="9">
        <v>0.0</v>
      </c>
      <c r="U46" s="9">
        <v>0.0</v>
      </c>
      <c r="V46" s="9">
        <v>0.0</v>
      </c>
      <c r="W46" s="9">
        <v>0.0</v>
      </c>
      <c r="X46" s="9" t="s">
        <v>323</v>
      </c>
      <c r="Y46" s="11">
        <f t="shared" si="1"/>
        <v>3</v>
      </c>
      <c r="Z46" s="11">
        <f t="shared" si="2"/>
        <v>5</v>
      </c>
      <c r="AA46" s="13" t="s">
        <v>324</v>
      </c>
    </row>
    <row r="47" ht="41.25" customHeight="1">
      <c r="A47" s="8" t="s">
        <v>325</v>
      </c>
      <c r="B47" s="8" t="s">
        <v>28</v>
      </c>
      <c r="C47" s="8" t="s">
        <v>29</v>
      </c>
      <c r="D47" s="8" t="s">
        <v>326</v>
      </c>
      <c r="E47" s="8" t="s">
        <v>327</v>
      </c>
      <c r="F47" s="8">
        <v>0.568512499332428</v>
      </c>
      <c r="G47" s="8" t="s">
        <v>32</v>
      </c>
      <c r="H47" s="8" t="s">
        <v>328</v>
      </c>
      <c r="I47" s="8">
        <v>1.0</v>
      </c>
      <c r="J47" s="8">
        <v>0.0</v>
      </c>
      <c r="K47" s="8">
        <v>1.0</v>
      </c>
      <c r="L47" s="8" t="s">
        <v>329</v>
      </c>
      <c r="M47" s="8" t="s">
        <v>330</v>
      </c>
      <c r="N47" s="9">
        <v>0.0</v>
      </c>
      <c r="O47" s="9">
        <v>0.0</v>
      </c>
      <c r="P47" s="9">
        <v>0.0</v>
      </c>
      <c r="Q47" s="9">
        <v>0.0</v>
      </c>
      <c r="R47" s="9">
        <v>0.0</v>
      </c>
      <c r="S47" s="9">
        <v>0.0</v>
      </c>
      <c r="T47" s="9">
        <v>0.0</v>
      </c>
      <c r="U47" s="9">
        <v>0.0</v>
      </c>
      <c r="V47" s="9">
        <v>0.0</v>
      </c>
      <c r="W47" s="9">
        <v>0.0</v>
      </c>
      <c r="X47" s="10"/>
      <c r="Y47" s="11">
        <f t="shared" si="1"/>
        <v>5</v>
      </c>
      <c r="Z47" s="11">
        <f t="shared" si="2"/>
        <v>5</v>
      </c>
      <c r="AA47" s="12"/>
    </row>
    <row r="48" ht="46.5" customHeight="1">
      <c r="A48" s="8" t="s">
        <v>331</v>
      </c>
      <c r="B48" s="8" t="s">
        <v>28</v>
      </c>
      <c r="C48" s="8" t="s">
        <v>29</v>
      </c>
      <c r="D48" s="8" t="s">
        <v>332</v>
      </c>
      <c r="E48" s="8" t="s">
        <v>333</v>
      </c>
      <c r="F48" s="8">
        <v>0.4758847653865814</v>
      </c>
      <c r="G48" s="8" t="s">
        <v>32</v>
      </c>
      <c r="H48" s="8" t="s">
        <v>334</v>
      </c>
      <c r="I48" s="8">
        <v>0.0</v>
      </c>
      <c r="J48" s="8">
        <v>0.0</v>
      </c>
      <c r="K48" s="8">
        <v>2.0</v>
      </c>
      <c r="L48" s="8" t="s">
        <v>335</v>
      </c>
      <c r="M48" s="8" t="s">
        <v>336</v>
      </c>
      <c r="N48" s="9">
        <v>0.0</v>
      </c>
      <c r="O48" s="9">
        <v>1.0</v>
      </c>
      <c r="P48" s="9">
        <v>0.0</v>
      </c>
      <c r="Q48" s="9">
        <v>0.0</v>
      </c>
      <c r="R48" s="9">
        <v>0.0</v>
      </c>
      <c r="S48" s="9">
        <v>0.0</v>
      </c>
      <c r="T48" s="9">
        <v>0.0</v>
      </c>
      <c r="U48" s="9">
        <v>0.0</v>
      </c>
      <c r="V48" s="9">
        <v>0.0</v>
      </c>
      <c r="W48" s="9">
        <v>0.0</v>
      </c>
      <c r="X48" s="9" t="s">
        <v>333</v>
      </c>
      <c r="Y48" s="11">
        <f t="shared" si="1"/>
        <v>4</v>
      </c>
      <c r="Z48" s="11">
        <f t="shared" si="2"/>
        <v>5</v>
      </c>
      <c r="AA48" s="13" t="s">
        <v>337</v>
      </c>
    </row>
    <row r="49" ht="40.5" customHeight="1">
      <c r="A49" s="8" t="s">
        <v>338</v>
      </c>
      <c r="B49" s="8" t="s">
        <v>28</v>
      </c>
      <c r="C49" s="8" t="s">
        <v>29</v>
      </c>
      <c r="D49" s="8" t="s">
        <v>339</v>
      </c>
      <c r="E49" s="8" t="s">
        <v>340</v>
      </c>
      <c r="F49" s="8">
        <v>0.5724296569824219</v>
      </c>
      <c r="G49" s="8" t="s">
        <v>32</v>
      </c>
      <c r="H49" s="8" t="s">
        <v>341</v>
      </c>
      <c r="I49" s="8">
        <v>0.0</v>
      </c>
      <c r="J49" s="8">
        <v>0.0</v>
      </c>
      <c r="K49" s="8">
        <v>1.0</v>
      </c>
      <c r="L49" s="8" t="s">
        <v>342</v>
      </c>
      <c r="M49" s="8" t="s">
        <v>343</v>
      </c>
      <c r="N49" s="9">
        <v>0.0</v>
      </c>
      <c r="O49" s="9">
        <v>0.0</v>
      </c>
      <c r="P49" s="9">
        <v>0.0</v>
      </c>
      <c r="Q49" s="9">
        <v>0.0</v>
      </c>
      <c r="R49" s="9">
        <v>0.0</v>
      </c>
      <c r="S49" s="9">
        <v>0.0</v>
      </c>
      <c r="T49" s="9">
        <v>1.0</v>
      </c>
      <c r="U49" s="9">
        <v>0.0</v>
      </c>
      <c r="V49" s="9">
        <v>0.0</v>
      </c>
      <c r="W49" s="9">
        <v>0.0</v>
      </c>
      <c r="X49" s="9" t="s">
        <v>344</v>
      </c>
      <c r="Y49" s="11">
        <f t="shared" si="1"/>
        <v>5</v>
      </c>
      <c r="Z49" s="11">
        <f t="shared" si="2"/>
        <v>4</v>
      </c>
      <c r="AA49" s="13" t="s">
        <v>345</v>
      </c>
    </row>
    <row r="50" ht="26.25" customHeight="1">
      <c r="A50" s="8" t="s">
        <v>346</v>
      </c>
      <c r="B50" s="8" t="s">
        <v>28</v>
      </c>
      <c r="C50" s="8" t="s">
        <v>29</v>
      </c>
      <c r="D50" s="8" t="s">
        <v>347</v>
      </c>
      <c r="E50" s="8" t="s">
        <v>348</v>
      </c>
      <c r="F50" s="8">
        <v>0.5909843444824219</v>
      </c>
      <c r="G50" s="8" t="s">
        <v>32</v>
      </c>
      <c r="H50" s="8" t="s">
        <v>349</v>
      </c>
      <c r="I50" s="8">
        <v>0.0</v>
      </c>
      <c r="J50" s="8">
        <v>0.0</v>
      </c>
      <c r="K50" s="8">
        <v>1.0</v>
      </c>
      <c r="L50" s="8" t="s">
        <v>350</v>
      </c>
      <c r="M50" s="8" t="s">
        <v>351</v>
      </c>
      <c r="N50" s="9">
        <v>0.0</v>
      </c>
      <c r="O50" s="9">
        <v>0.0</v>
      </c>
      <c r="P50" s="9">
        <v>0.0</v>
      </c>
      <c r="Q50" s="9">
        <v>1.0</v>
      </c>
      <c r="R50" s="9">
        <v>0.0</v>
      </c>
      <c r="S50" s="9">
        <v>0.0</v>
      </c>
      <c r="T50" s="9">
        <v>0.0</v>
      </c>
      <c r="U50" s="9">
        <v>0.0</v>
      </c>
      <c r="V50" s="9">
        <v>0.0</v>
      </c>
      <c r="W50" s="9">
        <v>0.0</v>
      </c>
      <c r="X50" s="9" t="s">
        <v>352</v>
      </c>
      <c r="Y50" s="11">
        <f t="shared" si="1"/>
        <v>4</v>
      </c>
      <c r="Z50" s="11">
        <f t="shared" si="2"/>
        <v>5</v>
      </c>
      <c r="AA50" s="13" t="s">
        <v>353</v>
      </c>
    </row>
    <row r="51" ht="72.0" customHeight="1">
      <c r="A51" s="8" t="s">
        <v>354</v>
      </c>
      <c r="B51" s="8" t="s">
        <v>28</v>
      </c>
      <c r="C51" s="8" t="s">
        <v>29</v>
      </c>
      <c r="D51" s="8" t="s">
        <v>355</v>
      </c>
      <c r="E51" s="8" t="s">
        <v>356</v>
      </c>
      <c r="F51" s="8">
        <v>0.452392578125</v>
      </c>
      <c r="G51" s="8" t="s">
        <v>32</v>
      </c>
      <c r="H51" s="8" t="s">
        <v>357</v>
      </c>
      <c r="I51" s="8">
        <v>0.0</v>
      </c>
      <c r="J51" s="8">
        <v>1.0</v>
      </c>
      <c r="K51" s="8">
        <v>2.0</v>
      </c>
      <c r="L51" s="8"/>
      <c r="M51" s="8" t="s">
        <v>358</v>
      </c>
      <c r="N51" s="9">
        <v>1.0</v>
      </c>
      <c r="O51" s="9">
        <v>0.0</v>
      </c>
      <c r="P51" s="9">
        <v>0.0</v>
      </c>
      <c r="Q51" s="9">
        <v>1.0</v>
      </c>
      <c r="R51" s="9">
        <v>0.0</v>
      </c>
      <c r="S51" s="9">
        <v>0.0</v>
      </c>
      <c r="T51" s="9">
        <v>0.0</v>
      </c>
      <c r="U51" s="9">
        <v>0.0</v>
      </c>
      <c r="V51" s="9">
        <v>0.0</v>
      </c>
      <c r="W51" s="9">
        <v>0.0</v>
      </c>
      <c r="X51" s="9" t="s">
        <v>359</v>
      </c>
      <c r="Y51" s="11">
        <f t="shared" si="1"/>
        <v>3</v>
      </c>
      <c r="Z51" s="11">
        <f t="shared" si="2"/>
        <v>5</v>
      </c>
      <c r="AA51" s="13" t="s">
        <v>360</v>
      </c>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14"/>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14"/>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14"/>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14"/>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14"/>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14"/>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14"/>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14"/>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14"/>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14"/>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14"/>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14"/>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14"/>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14"/>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14"/>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14"/>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14"/>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14"/>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14"/>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14"/>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14"/>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14"/>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14"/>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14"/>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14"/>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14"/>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14"/>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14"/>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14"/>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14"/>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14"/>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14"/>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14"/>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14"/>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14"/>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14"/>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14"/>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14"/>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14"/>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14"/>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14"/>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14"/>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14"/>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14"/>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14"/>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14"/>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14"/>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14"/>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14"/>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14"/>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14"/>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14"/>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14"/>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14"/>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14"/>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14"/>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14"/>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14"/>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14"/>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14"/>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14"/>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14"/>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14"/>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14"/>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14"/>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14"/>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14"/>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14"/>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14"/>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14"/>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14"/>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14"/>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14"/>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14"/>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14"/>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14"/>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14"/>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14"/>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14"/>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14"/>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14"/>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14"/>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14"/>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14"/>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14"/>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14"/>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14"/>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14"/>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14"/>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14"/>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14"/>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14"/>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14"/>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14"/>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14"/>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14"/>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14"/>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14"/>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14"/>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14"/>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14"/>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14"/>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14"/>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14"/>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14"/>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14"/>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14"/>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14"/>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14"/>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14"/>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14"/>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14"/>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14"/>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14"/>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14"/>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14"/>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14"/>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14"/>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14"/>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14"/>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14"/>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14"/>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14"/>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14"/>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14"/>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14"/>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14"/>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14"/>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14"/>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14"/>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14"/>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14"/>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14"/>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14"/>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14"/>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14"/>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14"/>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14"/>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14"/>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14"/>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14"/>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14"/>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14"/>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14"/>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14"/>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14"/>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14"/>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14"/>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14"/>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14"/>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14"/>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14"/>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14"/>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14"/>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14"/>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14"/>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14"/>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14"/>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14"/>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14"/>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14"/>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14"/>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14"/>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14"/>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14"/>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14"/>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14"/>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14"/>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14"/>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14"/>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14"/>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14"/>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14"/>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14"/>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14"/>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14"/>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14"/>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14"/>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14"/>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14"/>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14"/>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14"/>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14"/>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14"/>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14"/>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14"/>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14"/>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14"/>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14"/>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14"/>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14"/>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14"/>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14"/>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14"/>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14"/>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14"/>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14"/>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14"/>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14"/>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14"/>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14"/>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14"/>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14"/>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14"/>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14"/>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14"/>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14"/>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14"/>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14"/>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14"/>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14"/>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14"/>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14"/>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14"/>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14"/>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14"/>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14"/>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14"/>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14"/>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14"/>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14"/>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14"/>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14"/>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14"/>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14"/>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14"/>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14"/>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14"/>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14"/>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14"/>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14"/>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14"/>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14"/>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14"/>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14"/>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14"/>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14"/>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14"/>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14"/>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14"/>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14"/>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14"/>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14"/>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14"/>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14"/>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14"/>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14"/>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14"/>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14"/>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14"/>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14"/>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14"/>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14"/>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14"/>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14"/>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14"/>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14"/>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14"/>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14"/>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14"/>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14"/>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14"/>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14"/>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14"/>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14"/>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14"/>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14"/>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14"/>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14"/>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14"/>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14"/>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14"/>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14"/>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14"/>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14"/>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14"/>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14"/>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14"/>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14"/>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14"/>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14"/>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14"/>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14"/>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14"/>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14"/>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14"/>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14"/>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14"/>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14"/>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14"/>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14"/>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14"/>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14"/>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14"/>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14"/>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14"/>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14"/>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14"/>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14"/>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14"/>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14"/>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14"/>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14"/>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14"/>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14"/>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14"/>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14"/>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14"/>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14"/>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14"/>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14"/>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14"/>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14"/>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14"/>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14"/>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14"/>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14"/>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14"/>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14"/>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14"/>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14"/>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14"/>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14"/>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14"/>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14"/>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14"/>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14"/>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14"/>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14"/>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14"/>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14"/>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14"/>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14"/>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14"/>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14"/>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14"/>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14"/>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14"/>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14"/>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14"/>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14"/>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14"/>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14"/>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14"/>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14"/>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14"/>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14"/>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14"/>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14"/>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14"/>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14"/>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14"/>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14"/>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14"/>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14"/>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14"/>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14"/>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14"/>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14"/>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14"/>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14"/>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14"/>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14"/>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14"/>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14"/>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14"/>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14"/>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14"/>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14"/>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14"/>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14"/>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14"/>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14"/>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14"/>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14"/>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14"/>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14"/>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14"/>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14"/>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14"/>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14"/>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14"/>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14"/>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14"/>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14"/>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14"/>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14"/>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14"/>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14"/>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14"/>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14"/>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14"/>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14"/>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14"/>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14"/>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14"/>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14"/>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14"/>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14"/>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14"/>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14"/>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14"/>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14"/>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14"/>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14"/>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14"/>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14"/>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14"/>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14"/>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14"/>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14"/>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14"/>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14"/>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14"/>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14"/>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14"/>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14"/>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14"/>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14"/>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14"/>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14"/>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14"/>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14"/>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14"/>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14"/>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14"/>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14"/>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14"/>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14"/>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14"/>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14"/>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14"/>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14"/>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14"/>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14"/>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14"/>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14"/>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14"/>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14"/>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14"/>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14"/>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14"/>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14"/>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14"/>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14"/>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14"/>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14"/>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14"/>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14"/>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14"/>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14"/>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14"/>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14"/>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14"/>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14"/>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14"/>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14"/>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14"/>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14"/>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14"/>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14"/>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14"/>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14"/>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14"/>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14"/>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14"/>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14"/>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14"/>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14"/>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14"/>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14"/>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14"/>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14"/>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14"/>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14"/>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14"/>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14"/>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14"/>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14"/>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14"/>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14"/>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14"/>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14"/>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14"/>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14"/>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14"/>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14"/>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14"/>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14"/>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14"/>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14"/>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14"/>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14"/>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14"/>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14"/>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14"/>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14"/>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14"/>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14"/>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14"/>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14"/>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14"/>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14"/>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14"/>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14"/>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14"/>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14"/>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14"/>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14"/>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14"/>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14"/>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14"/>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14"/>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14"/>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14"/>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14"/>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14"/>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14"/>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14"/>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14"/>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14"/>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14"/>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14"/>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14"/>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14"/>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14"/>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14"/>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14"/>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14"/>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14"/>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14"/>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14"/>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14"/>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14"/>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14"/>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14"/>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14"/>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14"/>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14"/>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14"/>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14"/>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14"/>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14"/>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14"/>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14"/>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14"/>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14"/>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14"/>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14"/>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14"/>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14"/>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14"/>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14"/>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14"/>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14"/>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14"/>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14"/>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14"/>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14"/>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14"/>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14"/>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14"/>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14"/>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14"/>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14"/>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14"/>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14"/>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14"/>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14"/>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14"/>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14"/>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14"/>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14"/>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14"/>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14"/>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14"/>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14"/>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14"/>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14"/>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14"/>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14"/>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14"/>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14"/>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14"/>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14"/>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14"/>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14"/>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14"/>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14"/>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14"/>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14"/>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14"/>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14"/>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14"/>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14"/>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14"/>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14"/>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14"/>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14"/>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14"/>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14"/>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14"/>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14"/>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14"/>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14"/>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14"/>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14"/>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14"/>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14"/>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14"/>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14"/>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14"/>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14"/>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14"/>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14"/>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14"/>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14"/>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14"/>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14"/>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14"/>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14"/>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14"/>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14"/>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14"/>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14"/>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14"/>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14"/>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14"/>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14"/>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14"/>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14"/>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14"/>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14"/>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14"/>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14"/>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14"/>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14"/>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14"/>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14"/>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14"/>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14"/>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14"/>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14"/>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14"/>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14"/>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14"/>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14"/>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14"/>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14"/>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14"/>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14"/>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14"/>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14"/>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14"/>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14"/>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14"/>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14"/>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14"/>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14"/>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14"/>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14"/>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14"/>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14"/>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14"/>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14"/>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14"/>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14"/>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14"/>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14"/>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14"/>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14"/>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14"/>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14"/>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14"/>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14"/>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14"/>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14"/>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14"/>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14"/>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14"/>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14"/>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14"/>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14"/>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14"/>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14"/>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14"/>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14"/>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14"/>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14"/>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14"/>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14"/>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14"/>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14"/>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14"/>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14"/>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14"/>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14"/>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14"/>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14"/>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14"/>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14"/>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14"/>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14"/>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14"/>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14"/>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14"/>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14"/>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14"/>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14"/>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14"/>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14"/>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14"/>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14"/>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14"/>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14"/>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14"/>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14"/>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14"/>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14"/>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14"/>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14"/>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14"/>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14"/>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14"/>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14"/>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14"/>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14"/>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14"/>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14"/>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14"/>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14"/>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14"/>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14"/>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14"/>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14"/>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14"/>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14"/>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14"/>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14"/>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14"/>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14"/>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14"/>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14"/>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14"/>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14"/>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14"/>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14"/>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14"/>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14"/>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14"/>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14"/>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14"/>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14"/>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14"/>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14"/>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14"/>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14"/>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14"/>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14"/>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14"/>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14"/>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14"/>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14"/>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14"/>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14"/>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14"/>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14"/>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14"/>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14"/>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14"/>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14"/>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14"/>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14"/>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14"/>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14"/>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14"/>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14"/>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14"/>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14"/>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14"/>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14"/>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14"/>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14"/>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14"/>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14"/>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14"/>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14"/>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14"/>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14"/>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14"/>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14"/>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14"/>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14"/>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14"/>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14"/>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14"/>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14"/>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14"/>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14"/>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14"/>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14"/>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14"/>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14"/>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14"/>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14"/>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14"/>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14"/>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14"/>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14"/>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14"/>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14"/>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14"/>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14"/>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14"/>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14"/>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14"/>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14"/>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14"/>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14"/>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14"/>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14"/>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14"/>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14"/>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14"/>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14"/>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14"/>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14"/>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14"/>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14"/>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14"/>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14"/>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14"/>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14"/>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14"/>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14"/>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14"/>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14"/>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14"/>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14"/>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14"/>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14"/>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14"/>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14"/>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14"/>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14"/>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14"/>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14"/>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14"/>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14"/>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14"/>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14"/>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14"/>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14"/>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14"/>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14"/>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14"/>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14"/>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14"/>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14"/>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14"/>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14"/>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14"/>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14"/>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14"/>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14"/>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14"/>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14"/>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14"/>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14"/>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14"/>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14"/>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14"/>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14"/>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14"/>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14"/>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14"/>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14"/>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14"/>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14"/>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14"/>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14"/>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14"/>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14"/>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14"/>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14"/>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14"/>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14"/>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14"/>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14"/>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14"/>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14"/>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14"/>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14"/>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14"/>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14"/>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14"/>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14"/>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14"/>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14"/>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14"/>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14"/>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14"/>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14"/>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14"/>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14"/>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14"/>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14"/>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14"/>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14"/>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14"/>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14"/>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14"/>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14"/>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14"/>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14"/>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14"/>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14"/>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14"/>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14"/>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14"/>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14"/>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14"/>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14"/>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14"/>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14"/>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14"/>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14"/>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14"/>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14"/>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14"/>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14"/>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14"/>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14"/>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14"/>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14"/>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14"/>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14"/>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14"/>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14"/>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14"/>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14"/>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14"/>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14"/>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14"/>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14"/>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14"/>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14"/>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14"/>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14"/>
    </row>
  </sheetData>
  <dataValidations>
    <dataValidation type="list" allowBlank="1" showErrorMessage="1" sqref="N2:W51">
      <formula1>"1,0"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2025-11-21T07:20:53Z</dcterms:created>
  <dc:creator>openpyxl</dc:creator>
</cp:coreProperties>
</file>