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lk34SWETprdDaLUNjXA5paTUatohaTt8XVhOdka16k="/>
    </ext>
  </extLst>
</workbook>
</file>

<file path=xl/sharedStrings.xml><?xml version="1.0" encoding="utf-8"?>
<sst xmlns="http://schemas.openxmlformats.org/spreadsheetml/2006/main" count="484" uniqueCount="323">
  <si>
    <t>unique id</t>
  </si>
  <si>
    <t>source language</t>
  </si>
  <si>
    <t>target language</t>
  </si>
  <si>
    <t>source verbalization</t>
  </si>
  <si>
    <t>target verbalization</t>
  </si>
  <si>
    <t>target verbalization score</t>
  </si>
  <si>
    <t>target verbalization quality category</t>
  </si>
  <si>
    <t>target verbalization detected errors</t>
  </si>
  <si>
    <t>target verbalization minor errors</t>
  </si>
  <si>
    <t>target verbalization major errors</t>
  </si>
  <si>
    <t>target verbalization critical errors</t>
  </si>
  <si>
    <t>corrected target verbalization explanations</t>
  </si>
  <si>
    <t>corrected target verbalization</t>
  </si>
  <si>
    <t>Terminology</t>
  </si>
  <si>
    <t>Mistranslation</t>
  </si>
  <si>
    <t>Omission</t>
  </si>
  <si>
    <t>Addition</t>
  </si>
  <si>
    <t>Untranslated</t>
  </si>
  <si>
    <t>Grammar</t>
  </si>
  <si>
    <t>Style</t>
  </si>
  <si>
    <t>Spelling</t>
  </si>
  <si>
    <t>Typography</t>
  </si>
  <si>
    <t>Unintelligible</t>
  </si>
  <si>
    <t>Corrected translation</t>
  </si>
  <si>
    <t>Total Accuracy</t>
  </si>
  <si>
    <t>Total Fluency</t>
  </si>
  <si>
    <t>7102W3</t>
  </si>
  <si>
    <t>en</t>
  </si>
  <si>
    <t>es</t>
  </si>
  <si>
    <t>Pinya is located in Myanmar and in the UTC+06:30 timezone.</t>
  </si>
  <si>
    <t>Pinya está en Myanmar en la zona horaria UTC+06:30.</t>
  </si>
  <si>
    <t>moderate</t>
  </si>
  <si>
    <t>[{"text": "Pinya está en Myanmar en la zona horaria", "confidence": 0.3095703125, "severity": "critical", "start": 0, "end": 40}, {"text": "06", "confidence": 0.302978515625, "severity": "critical", "start": 45, "end": 47}]</t>
  </si>
  <si>
    <t>Explanation for error severity: The translation of "Pinya está en Myanmar en la zona horaria UTC+06:30" is grammatically correct but lacks clarity and specificity. The phrase "en la zona horaria" (in the time zone) is not incorrect but could be more precise. Additionally, marking the time zone as "UTC+06:30" without specifying "UTC" (Coordinated Universal Time) before "06:30" might confuse readers unfamiliar with the notation. The translation could be improved by explicitly stating "Coordinated Universal Time" to ensure clarity and by using a more formal structure to match the source's tone.</t>
  </si>
  <si>
    <t>Pinya se encuentra en Myanmar, en el huso horario UTC+06:30.</t>
  </si>
  <si>
    <t>Z9PAR5</t>
  </si>
  <si>
    <t>Aylin Kösetürk, whose given name is Aylin, has brown eyes. Aylin is written using the Latin alphabet.</t>
  </si>
  <si>
    <t>Aylin Kösetürk, cuyo nombre de pila es Aylin, tiene los ojos marrones. Aylin se escribe con el alfabeto latino.</t>
  </si>
  <si>
    <t>[{"text": "nombre de pila es", "confidence": 0.3134765625, "severity": "critical", "start": 20, "end": 38}, {"text": "marr", "confidence": 0.31201171875, "severity": "critical", "start": 60, "end": 65}]</t>
  </si>
  <si>
    <t>Explanation for error "nombre de pila es": The phrase "nombre de pila es" is a direct translation of "whose given name is," but it's not the most natural way to express this idea in Spanish. A more idiomatic expression would be "cuyo nombre es" or "cuyo nombre de pila es," which directly translates to "whose name is" or "whose given name is," respectively. The use of "nombre de pila" is correct but could be simplified for clarity and natural flow in the sentence.
Explanation for error "marr": The error "marr" seems to be a typographical mistake in the analysis itself, as "marr" is not a word and does not correspond to any part of the translation. The correct word should be "marrón," which means "brown" in English. This error disrupts the readability and understanding of the sentence.</t>
  </si>
  <si>
    <t>Aylin Kösetürk, cuyo nombre es Aylin, tiene ojos marrones. Aylin se escribe con el alfabeto latino.</t>
  </si>
  <si>
    <t>TVSGX5</t>
  </si>
  <si>
    <t>Helsinki's head of government is Daniel Sazonov.</t>
  </si>
  <si>
    <t>El Jefe de Gobierno de Helsinki es Daniel Sazonov.</t>
  </si>
  <si>
    <t>[{"text": "Jefe de Gobierno", "confidence": 0.31494140625, "severity": "minor", "start": 2, "end": 19}, {"text": "zon", "confidence": 0.306884765625, "severity": "critical", "start": 44, "end": 47}]</t>
  </si>
  <si>
    <t>El Alcalde de Helsinki es Daniel Sazonov.</t>
  </si>
  <si>
    <t>El jefe del Gobierno de Helsinki es Daniel Sazonov.</t>
  </si>
  <si>
    <t>X5UXM4</t>
  </si>
  <si>
    <t>Antonio Pereira is a male and has the given name Antonio which is written using the Latin alphabet</t>
  </si>
  <si>
    <t>Antonio Pereira es un hombre y tiene el nombre de Antonio que se escribe con el alfabeto latino</t>
  </si>
  <si>
    <t>[{"text": "hombre", "confidence": 0.310546875, "severity": "minor", "start": 21, "end": 28}, {"text": "nombre de Antonio", "confidence": 0.3095703125, "severity": "critical", "start": 39, "end": 57}, {"text": "o", "confidence": 0.302734375, "severity": "critical", "start": 87, "end": 88}]</t>
  </si>
  <si>
    <t>Explanation for error "hombre": The term "hombre" is a direct translation of "male" but in this context, it's more natural and formal in Spanish to use "varón" or simply omit it as the gender is implied by the name "Antonio." The use of "hombre" is not incorrect but using "varón" or omitting it would be more appropriate in formal writing.
Explanation for error "nombre de Antonio": The phrase "nombre de Antonio" is redundant and awkward in Spanish. The correct expression should simply be "se llama Antonio," which translates to "his name is Antonio." The original phrase makes it sound as if "Antonio" is a title or a different kind of name, which is not the case.
Explanation for error "alfabet o latino": The error here is a typographical one, where the letter "o" is mistakenly separated from "alfabeto." The correct term is "alfabeto latino," which refers to the Latin alphabet. This is a critical error as it directly affects the spelling and understanding of the term.</t>
  </si>
  <si>
    <t>Antonio Pereira es un varón y se llama Antonio, que se escribe usando el alfabeto latino.</t>
  </si>
  <si>
    <t>2BZGC0</t>
  </si>
  <si>
    <t>Richard E. Lawyer was born in Los Angeles, which is in the Pacific Time Zone, and he was educated at the U.S. Air Force Test Pilot School.</t>
  </si>
  <si>
    <t>Richard E. Lawyer nació en Los Ángeles, en la zona horaria del Pacífico, y estudió en la Escuela de Pilotos de Pruebas de las Fuerzas Aéreas de Estados Unidos.</t>
  </si>
  <si>
    <t>[{"text": "hora", "confidence": 0.30859375, "severity": "critical", "start": 50, "end": 55}, {"text": "Pruebas", "confidence": 0.304443359375, "severity": "critical", "start": 110, "end": 118}]</t>
  </si>
  <si>
    <t>Explanation for error1: The term "hora" in "zona horaria" is a typographical error and should be "hora" to correctly refer to the "time zone." This is a critical error because it directly affects the understanding of the sentence, as "zona horaria" is the correct term in Spanish for "time zone."
Explanation for error2: The term "Pruebas" in "Escuela de Pilotos de Pruebas" is a mistranslation. The correct term should be "Pruebas" as it is part of the compound noun "Escuela de Pilotos de Pruebas," which refers to the "Test Pilot School." This is a critical error because it misrepresents the name of the institution, which is a specific and important detail.</t>
  </si>
  <si>
    <t>Richard E. Lawyer nació en Los Ángeles, que se encuentra en la zona horaria del Pacífico, y se educó en la Escuela de Pilotos de Pruebas de la Fuerza Aérea de los EE. UU.</t>
  </si>
  <si>
    <t>7YOV5L</t>
  </si>
  <si>
    <t>Billiund Airoport is located in the Billund Munivipality, within the Europe/Copenhagen time zone. Billiund Airoport is registered as an aktieselskab.</t>
  </si>
  <si>
    <t>Billiund Airoport está situado en el municipio de Billund, en la zona horaria Europe/Copenhagen. Billiund Airoport está registrado como aktieselskab.</t>
  </si>
  <si>
    <t>[{"text": "hora", "confidence": 0.300537109375, "severity": "critical", "start": 69, "end": 74}, {"text": "Europe", "confidence": 0.3046875, "severity": "critical", "start": 77, "end": 84}]</t>
  </si>
  <si>
    <t>Explanation for error: The term "zona hora" is a mistranslation of "time zone." The correct term in Spanish should be "zona horaria," which accurately reflects the concept of a region that observes a uniform standard time, different from the local solar time. Additionally, the use of "Europe" in "Europe/Copenhagen" is not an error; however, the analysis might have mistakenly marked it due to the formatting issue with "hora." The correct translation should maintain the original format to accurately represent the time zone designation.</t>
  </si>
  <si>
    <t>7M5QO0</t>
  </si>
  <si>
    <t>Wartburg is a Romanesque architecture located in Eisenach and founded by Louis the Springer.</t>
  </si>
  <si>
    <t>Wartburg es una arquitectura románica situada en Eisenach y fundada por Luis el Soberbio.</t>
  </si>
  <si>
    <t>[{"text": "el Soberbio", "confidence": 0.321044921875, "severity": "critical", "start": 76, "end": 88}]</t>
  </si>
  <si>
    <t>Explanation for error: The translation of "Louis the Springer" as "Luis el Soberbio" is incorrect and misleading. "Louis the Springer" is a mistranslation or misinterpretation of the original name, which should be translated more accurately to reflect the historical figure's actual name and title. The term "Springer" does not convey any meaningful information in this context, and "Soberbio" (the proud one) is a mistranslation of "the Springer," which is likely a mistranslation or misinterpretation of a title or nickname. The correct translation should reflect the historical figure's name and title accurately, without adding or altering information that changes the meaning or identity of the person.</t>
  </si>
  <si>
    <t>Wartburg es una arquitectura románica situada en Eisenach y fundada por Luis el Piadoso.</t>
  </si>
  <si>
    <t>Wartburg es un castillo de arquitectura románica situado en Eisenach y fundado por Louis the Springer.</t>
  </si>
  <si>
    <t>EL6EU1</t>
  </si>
  <si>
    <t>Cabana d'Estall Serrer is located in the administrative territory of Escaldes-Engordany, in Andorra.</t>
  </si>
  <si>
    <t>Cabana d'Estall Serrer se encuentra en el territorio administrativo de Escaldes-Engordany, en Andorra.</t>
  </si>
  <si>
    <t>[{"text": "stall", "confidence": 0.31005859375, "severity": "critical", "start": 10, "end": 15}]</t>
  </si>
  <si>
    <t>Explanation for error: The error in "Cabana d'Estall Serrer" is a typographical mistake where "Estall" is incorrectly split into "E&lt;error severity='critical'&gt;stall&lt;/error&gt;." This disrupts the readability and understanding of the name of the place. Proper names, especially those of locations, should be accurately translated without any errors to maintain the integrity of the information.</t>
  </si>
  <si>
    <t>O9Z2PJ</t>
  </si>
  <si>
    <t>Omugulugwombashe, which is located in the Omusati Region, has been designated an heritage site of Namibia in the country of Namibia.</t>
  </si>
  <si>
    <t>Omugulugwombashe, situado en la región de Omusati, ha sido designado patrimonio de Namibia.</t>
  </si>
  <si>
    <t>[{"text": "ugu", "confidence": 0.3076171875, "severity": "critical", "start": 2, "end": 5}, {"text": "patrimonio", "confidence": 0.30859375, "severity": "critical", "start": 68, "end": 79}]</t>
  </si>
  <si>
    <t>Explanation for error "Omugulugwombashe": The name "Omugulugwombashe" is a proper noun and should not be altered in translation. The error seems to be a typographical mistake where "Omugulugwombashe" is incorrectly split into "Omugu" and "lugwombashe," which disrupts the integrity of the name. Proper names, especially those of places, should be accurately translated or transliterated to maintain their original identity and meaning.
Explanation for error "patrimonio": The word "patrimonio" is a direct translation of "heritage" but lacks the specificity and formality of the term in English. In Spanish, "patrimonio cultural" or "patrimonio histórico" would be more appropriate and specific, indicating that it is a cultural or historical heritage site, which is likely the intended meaning given the context. The use of "patrimonio" alone is too general and does not fully capture the specific designation of "heritage site."</t>
  </si>
  <si>
    <t>Omugulugwombashe, que se encuentra en la región de Omusati, ha sido designado como un sitio histórico de Namibia en el país de Namibia.</t>
  </si>
  <si>
    <t>I94DR3</t>
  </si>
  <si>
    <t>Tokyo international Airoport is currently in use. Its public transport stop is Haneda Airport Terminal 3 Station</t>
  </si>
  <si>
    <t>El Aeropuerto Internacional de Tokio está actualmente en uso. Su parada de transporte público es la estación Haneda Airport Terminal 3.</t>
  </si>
  <si>
    <t>good</t>
  </si>
  <si>
    <t>[]</t>
  </si>
  <si>
    <t>Explanation for error: The translation is generally accurate, but there are a few minor issues that could affect the clarity or formality of the translation. Firstly, the phrase "está actualmente en uso" directly translates to "is currently in use," which is grammatically correct but slightly awkward in Spanish. A more natural way to express this idea might involve rephrasing to better fit Spanish syntax and style. Secondly, the translation of "Airoport" as "Aeropuerto" is correct, but the use of "Airoport" in the source text suggests an attempt to transliterate the English term into Spanish, which might not be necessary or preferred in a formal translation. Lastly, the translation of "Haneda Airport Terminal 3 Station" is accurate but could be improved by specifying that it's a "parada de transporte público" (public transport stop) to clarify that it's a specific type of stop for public transportation.</t>
  </si>
  <si>
    <t>El Aeropuerto Internacional de Tokio está en funcionamiento actualmente. Su parada de transporte público es la estación Terminal 3 del Aeropuerto de Haneda.</t>
  </si>
  <si>
    <t>I52CXB</t>
  </si>
  <si>
    <t>Eris follows (136198) 2003 UJ296 and was discovered by David L. Rabinowitz.</t>
  </si>
  <si>
    <t>Eris sigue a (136198) 2003 UJ296 y fue descubierto por David L. Rabinowitz.</t>
  </si>
  <si>
    <t>[{"text": "Eris sigue a (13", "confidence": 0.308349609375, "severity": "critical", "start": 0, "end": 16}, {"text": "2003 UJ296", "confidence": 0.301025390625, "severity": "critical", "start": 21, "end": 32}, {"text": "descubierto", "confidence": 0.30517578125, "severity": "critical", "start": 38, "end": 50}]</t>
  </si>
  <si>
    <t>Explanation for error severity="critical": The phrase "Eris sigue a (136198) 2003 UJ296" is a critical error because it incorrectly suggests that Eris is following a specific object, which is misleading. The correct translation should indicate that Eris is the name of an object (asteroid or planet) and that it is being referred to by its catalog number and year of discovery. The use of "sigue" (follows) is incorrect in this context as it implies movement or action, which is not the intended meaning. The correct translation should convey that Eris is the name of an astronomical object and that it was discovered by David L. Rabinowitz.</t>
  </si>
  <si>
    <t>Eris (136198) 2003 UJ296 fue descubierto por David L. Rabinowitz.</t>
  </si>
  <si>
    <t>HPZF6D</t>
  </si>
  <si>
    <t>Lverbread is made from edible seaweed.</t>
  </si>
  <si>
    <t>El pan de verano se elabora con algas comestibles.</t>
  </si>
  <si>
    <t>weak</t>
  </si>
  <si>
    <t>[{"text": "El pan de verano", "confidence": 0.52734375, "severity": "critical", "start": 0, "end": 16}, {"text": "elabora", "confidence": 0.353271484375, "severity": "critical", "start": 19, "end": 27}]</t>
  </si>
  <si>
    <t>El Lverbread se elabora a partir de algas comestibles.</t>
  </si>
  <si>
    <t>CI3XRV</t>
  </si>
  <si>
    <t>Michel Terrot, whose family name is Terrot, is part of the political party Union for a Popular Movement. A movement whose headquarters are located in Paris and was later succeded by The Repubblicans.</t>
  </si>
  <si>
    <t>Michel Terrot, de apellido Terrot, forma parte del partido político Unión por un Movimiento Popular. Un movimiento cuya sede se encuentra en París y al que sucedieron posteriormente Los Repúblicanos.</t>
  </si>
  <si>
    <t>[{"text": "do", "confidence": 0.309326171875, "severity": "critical", "start": 24, "end": 26}, {"text": "ced", "confidence": 0.30419921875, "severity": "critical", "start": 158, "end": 161}, {"text": "Los Repúblicanos", "confidence": 0.315673828125, "severity": "minor", "start": 181, "end": 198}]</t>
  </si>
  <si>
    <t>Explanation for error1: The insertion of "do" before "Terrot" is a critical error as it disrupts the flow of the sentence and introduces an unnecessary word that does not exist in the original English text. This mistake likely arose from a typographical or editing error. The correct translation should maintain the family name "Terrot" without any insertion.
Explanation for error2: The error "ced" is a typographical mistake that should be corrected to "cedieron" to maintain the correct grammatical form in Spanish. The correct form is necessary for the sentence to convey the intended meaning accurately.
Explanation for error3: The term "Los Repúblicanos" is a direct translation of "The Republicans." While not incorrect, it might not fully convey the specific political party being referred to, especially if the original text is referring to a specific political party known internationally by a different name. Providing the full name of the party in English or using a more descriptive translation could enhance clarity.</t>
  </si>
  <si>
    <t>Michel Terrot, cuyo apellido es Terrot, forma parte del partido político Unión por un Movimiento Popular. Un movimiento cuya sede se encuentra en París y que fue sucedido posteriormente por Los Republicanos.</t>
  </si>
  <si>
    <t>Michel Terrot, cuyo apellido es Terrot, forma parte del partido político Unión por un Movimiento Popular, un movimiento cuya sede se encuentra en París y que fue sucedido posteriormente por Los Republicanos.</t>
  </si>
  <si>
    <t>NP28YX</t>
  </si>
  <si>
    <t>Christie Claridge studeied at Chatsworth High School and won the Miss International competition.</t>
  </si>
  <si>
    <t>Christie Claridge estudió en el Chatsworth High School y ganó el concurso de Miss Internacional.</t>
  </si>
  <si>
    <t>[{"text": "de Miss Internacional", "confidence": 0.312255859375, "severity": "critical", "start": 73, "end": 95}]</t>
  </si>
  <si>
    <t>Explanation for error: The phrase "de Miss Internacional" is a direct translation of "Miss International competition," but it lacks the necessary article "el" before "concurso" to match the gender of the noun "concurso" in Spanish. Additionally, the use of "Miss Internacional" without specifying that it is a title or a name of a competition can be confusing. It would be more appropriate to clarify that it is a title or a name of a specific event.</t>
  </si>
  <si>
    <t>Christie Claridge estudió en el Chatsworth High School y ganó el concurso Miss Internacional.</t>
  </si>
  <si>
    <t>GFQMBE</t>
  </si>
  <si>
    <t>Unione Sportiva Grosseto 1912 2020-2021 competes in the Serie C league. Its captain is Andrea Ciolli</t>
  </si>
  <si>
    <t>Unione Sportiva Grosseto 1912 2020-2021 compite en la liga Serie C. Su capitán es Andrea Ciolli</t>
  </si>
  <si>
    <t>[{"text": "compite", "confidence": 0.30712890625, "severity": "critical", "start": 39, "end": 47}, {"text": "liga Serie", "confidence": 0.30517578125, "severity": "minor", "start": 53, "end": 64}]</t>
  </si>
  <si>
    <t>Explanation for error "compite": The verb "compite" is used in the present tense, which does not accurately reflect the ongoing nature of the action described in the English source. The English source uses the present tense to indicate an ongoing fact or situation, which should be translated into the present tense in Spanish to maintain the same meaning. The use of the present tense in Spanish is crucial for accurately conveying the ongoing nature of the action or fact being described.
Explanation for error "liga Serie": The phrase "liga Serie" is a direct translation of "Serie C league." However, in Spanish, it's more common to see the names of leagues or competitions in a more integrated form, without the separation of "Serie" and "C." This separation can be seen as a minor error because it disrupts the flow of the name of the league and might be confusing for readers unfamiliar with the structure of Italian league names in Spanish.</t>
  </si>
  <si>
    <t>Unione Sportiva Grosseto 1912 compite en la Serie C 2020-2021. Su capitán es Andrea Ciolli.</t>
  </si>
  <si>
    <t>8D3LJB</t>
  </si>
  <si>
    <t>Bissett Water Aerodrome is located in Manitoba, Canada. Manitoba shares a boreder with North Dakota and uses Canadian dollars.</t>
  </si>
  <si>
    <t>El aeródromo de Bissett Water se encuentra en Manitoba, Canadá. Manitoba comparte boreder con Dakota del Norte y utiliza dólares canadienses.</t>
  </si>
  <si>
    <t>[{"text": "Water", "confidence": 0.324951171875, "severity": "minor", "start": 23, "end": 29}, {"text": "compar", "confidence": 0.30419921875, "severity": "critical", "start": 72, "end": 79}, {"text": "boreder", "confidence": 0.3349609375, "severity": "minor", "start": 81, "end": 89}]</t>
  </si>
  <si>
    <t>Explanation for error "Water": The term "Water" in "Bissett Water Aerodrome" was not translated into Spanish, which could lead to confusion for readers unfamiliar with the English name. A more appropriate translation would involve translating the entire name to maintain clarity and consistency.
Explanation for error "comparte boreder": The phrase "comparte boreder" is grammatically incorrect in Spanish. The correct form should be "comparte frontera" to accurately describe the sharing of a border. The error is critical because it significantly impacts the grammatical correctness and clarity of the sentence.
Explanation for error "boreder": The word "boreder" is a misspelling of "frontera" (border). This is a minor error but impacts the readability and professionalism of the translation.</t>
  </si>
  <si>
    <t>El aeródromo de Bissett se encuentra en Manitoba, Canadá. Manitoba comparte una frontera con Dakota del Norte y utiliza dólares canadienses.</t>
  </si>
  <si>
    <t>E4DWZY</t>
  </si>
  <si>
    <t>Ana Mendieta is a Cuban artist whose field of work is in performance art. She was educated at the University of Iowa.</t>
  </si>
  <si>
    <t>Ana Mendieta es una artista cubana cuyo campo de trabajo es el arte de la performance. Se formó en la Universidad de Iowa.</t>
  </si>
  <si>
    <t>[{"text": "arte de la performance", "confidence": 0.311279296875, "severity": "critical", "start": 62, "end": 85}, {"text": "for", "confidence": 0.3046875, "severity": "critical", "start": 89, "end": 93}]</t>
  </si>
  <si>
    <t>Ana Mendieta es una artista cubana cuyo campo de trabajo es el arte performativo. Estudió en la Universidad de Iowa.</t>
  </si>
  <si>
    <t>SZZP7G</t>
  </si>
  <si>
    <t>Wonder Woman's surname is Prince. Her country of origin are the United States.</t>
  </si>
  <si>
    <t>El apellido de la Mujer Maravilla es Prince. Su país de origen es Estados Unidos.</t>
  </si>
  <si>
    <t>[{"text": "Mujer Maravilla", "confidence": 0.3232421875, "severity": "critical", "start": 17, "end": 33}, {"text": "Prince", "confidence": 0.306884765625, "severity": "critical", "start": 36, "end": 43}, {"text": "de", "confidence": 0.2998046875, "severity": "critical", "start": 52, "end": 55}]</t>
  </si>
  <si>
    <t>Explanation for error: The phrase "El apellido de la Mujer Maravilla" directly translates to "The surname of Wonder Woman," which is grammatically correct but awkward in Spanish. The use of "la" before "Mujer Maravilla" is not necessary and makes the phrase sound unnatural. Additionally, the translation of "Prince" as a surname is incorrect because it does not convey that it is a last name. The correct translation should indicate that "Prince" is her family name or surname. The phrase "Su país de origen" is also awkwardly phrased; a more natural way to express this idea in Spanish would be "Su país natal" or "Su país de origen."</t>
  </si>
  <si>
    <t>El apellido de Wonder Woman es Prince. Su país de origen es Estados Unidos.</t>
  </si>
  <si>
    <t>QUSZL5</t>
  </si>
  <si>
    <t>Centro Universitario del Fútbol y Ciencias del Deporte is located in Mexico. The head of government in Mexico is Claudia Sheinbaum. One of the Mexico's official languages is Nahuatl</t>
  </si>
  <si>
    <t>Centro Universitario del Fútbol y Ciencias del Deporte está en México. La Jefa de Gobierno de México es Claudia Sheinbaum. Una de las lenguas oficiales de México es el náhuatl.</t>
  </si>
  <si>
    <t>[{"text": "Jefa", "confidence": 0.31591796875, "severity": "minor", "start": 73, "end": 78}, {"text": "Gobierno", "confidence": 0.302734375, "severity": "critical", "start": 81, "end": 90}, {"text": "náhu", "confidence": 0.314697265625, "severity": "minor", "start": 167, "end": 172}]</t>
  </si>
  <si>
    <t>Explanation for error "Jefa": The term "Jefa" is a feminine form of "chief" or "boss" in Spanish. However, the official title in Spanish for the head of government in Mexico is "Jefa de Gobierno," which is grammatically correct. The error is marked as minor because it's a direct translation of the English term "head of government" into Spanish, but the gender-specific form is not an error in itself; it's the correct term for a female head of government.
Explanation for error "Gobierno": The term "Gobierno" is correctly translated as "government." The error is marked as critical because it seems to be a misunderstanding of the term. "Gobierno" is the correct term for "government" in Spanish, and there is no error in its use here. The marking of this term as an error might be due to a misunderstanding of the analysis criteria or an oversight.
Explanation for error "náhuatl": The term "náhuatl" is the correct spelling for the Nahuatl language. The error marking seems to be a mistake, as "náhuatl" is the standard spelling in Spanish for the Nahuatl language. This might be an oversight in the analysis process.</t>
  </si>
  <si>
    <t>El Centro Universitario del Fútbol y Ciencias del Deporte se encuentra en México. La Jefa de Gobierno de México es Claudia Sheinbaum. Uno de los idiomas oficiales de México es el náhuatl.</t>
  </si>
  <si>
    <t>V2YIL2</t>
  </si>
  <si>
    <t>Buenos Aires Stock Exchange is a stock market index of S&amp;P Merval.</t>
  </si>
  <si>
    <t>La Bolsa de Comercio de Buenos Aires es un índice bursátil del S&amp;P Merval.</t>
  </si>
  <si>
    <t>[{"text": "Bolsa de Comercio", "confidence": 0.309814453125, "severity": "critical", "start": 2, "end": 20}]</t>
  </si>
  <si>
    <t>Explanation for error: The term "Bolsa de Comercio" translates to "Stock Exchange" in English, which is technically correct. However, the original English source specifies "Buenos Aires Stock Exchange," which is a proper noun and should be translated as such to maintain the specificity and accuracy of the reference. The translation should directly refer to the Buenos Aires Stock Exchange by its proper name to avoid confusion and maintain the specificity of the original text.</t>
  </si>
  <si>
    <t>VA67M7</t>
  </si>
  <si>
    <t>Whiplash is a different comic character than Ivan Vanko, who was interpretated by Mickey Rourke.</t>
  </si>
  <si>
    <t>Whiplash es un personaje cómico diferente de Ivan Vanko, interpretado por Mickey Rourke.</t>
  </si>
  <si>
    <t>[{"text": "Ivan", "confidence": 0.304931640625, "severity": "critical", "start": 44, "end": 49}, {"text": "ko", "confidence": 0.304931640625, "severity": "critical", "start": 53, "end": 55}]</t>
  </si>
  <si>
    <t>Explanation for error: The translation of "Whiplash" as a "comic character" is correct, but the analysis highlights critical errors in the translation of "Ivan Vanko's" name and the omission of the article "el" before "personaje cómico" (comic character). The name "Ivan Vanko" is a proper noun and should not be translated or altered. Additionally, the omission of the definite article "el" before "personaje cómico" is a grammatical error in Spanish, as it is necessary to specify "the comic character" in this context.</t>
  </si>
  <si>
    <t>7TYLJF</t>
  </si>
  <si>
    <t>The Indravati River is part of the Ganges Basin and flows into the Sun Kosi. The Ganges Basin is located in Bhutan, Asia.</t>
  </si>
  <si>
    <t>El río Indravati forma parte de la cuenca del Ganges y desemboca en el Sun Kosi. La cuenca del Ganges se encuentra en Bután (Asia).</t>
  </si>
  <si>
    <t>[{"text": "el Sun Kosi", "confidence": 0.3125, "severity": "minor", "start": 67, "end": 79}, {"text": "Bután", "confidence": 0.30615234375, "severity": "critical", "start": 117, "end": 123}]</t>
  </si>
  <si>
    <t>Explanation for error in "el Sun Kosi": The term "el Sun Kosi" is a direct translation of "the Sun Kosi" but fails to adapt the name to the Spanish orthography, which typically requires the use of accents for proper nouns from other languages. The correct translation should maintain the original name's spelling or provide a transliteration that adheres to Spanish orthographic norms.
Explanation for error in "Bután": The translation of "Bhutan" as "Bután" is not incorrect but using the original English name "Bhutan" would be more appropriate and consistent with international usage. The use of "Bután" might be seen as a minor error due to the preference for the internationally recognized name of countries, especially in formal or informational texts.</t>
  </si>
  <si>
    <t>24H551</t>
  </si>
  <si>
    <t>Solar has been created by Paul S. Newman who was born in Manhattan and has been awarded with the Inkpot Award.</t>
  </si>
  <si>
    <t>Solar ha sido creado por Paul S. Newman, nacido en Manhattan y galardonado con el Inkpot Award.</t>
  </si>
  <si>
    <t>[{"text": "nacido", "confidence": 0.306396484375, "severity": "critical", "start": 40, "end": 47}, {"text": "gal", "confidence": 0.310302734375, "severity": "critical", "start": 62, "end": 66}, {"text": "nado", "confidence": 0.308349609375, "severity": "critical", "start": 70, "end": 74}]</t>
  </si>
  <si>
    <t>Explanation for error severity: The errors in the translation are critical as they significantly impact the readability and accuracy of the sentence. The first error is the use of "nacido" (born) without a space after the comma, which is a typographical error. The second error is the fragment "galardo" which seems to be an incomplete word, likely intended to be "galardonado" (awarded). The third error is the fragment "nado" which is another incomplete word, likely intended to be "nado" (awarded). These errors disrupt the flow and understanding of the sentence, making it difficult to read and understand.</t>
  </si>
  <si>
    <t>Solar fue creado por Paul S. Newman, quien nació en Manhattan y fue galardonado con el Premio Inkpot.</t>
  </si>
  <si>
    <t>O79GKH</t>
  </si>
  <si>
    <t xml:space="preserve">Aeroporto di Bangkok-Suvarnabhumi is in the administrative territory of Nong Prue. Suvarnabhumi Airport is in the Asia/Bang timezone. Suvarnabhumi Airport is named after Suvarnabhumi. </t>
  </si>
  <si>
    <t>Aeroporto di Bangkok-Suvarnabhumi está en el territorio administrativo de Nong Prue. El Aeropuerto de Suvarnabhumi está en la zona horaria Asia/Bang. El Aeropuerto de Suvarnabhumi lleva el nombre de Suvarnabhumi.</t>
  </si>
  <si>
    <t>[{"text": "ang", "confidence": 0.3017578125, "severity": "critical", "start": 145, "end": 148}]</t>
  </si>
  <si>
    <t>Explanation for error in "Asia/Bang": The error in "Asia/Bang" is a typographical mistake where the word "Bang" is incorrectly split into "Bang" and "ang." This disrupts the readability and understanding of the sentence, as it refers to the time zone. The correct term should be "Bangkok," which is the capital city of Thailand and the location of Suvarnabhumi Airport. The error is critical because it misrepresents the geographical and temporal information about the airport.</t>
  </si>
  <si>
    <t>El Aeropuerto de Suvarnabhumi está en el territorio administrativo de Nong Prue. El Aeropuerto de Suvarnabhumi está en la zona horaria Asia/Bangkok. El Aeropuerto de Suvarnabhumi lleva el nombre de Suvarnabhumi.</t>
  </si>
  <si>
    <t>El aeropuerto de Bangkok-Suvarnabhumi se encuentra en el territorio administrativo de Nong Prue. Aeropuerto de Suvarnabhumi está en la zona horaria Asia/Bang. El aeropuerto de Suvarnabhumi lleva el nombre de Suvarnabhumi.</t>
  </si>
  <si>
    <t>B8J0QV</t>
  </si>
  <si>
    <t>Sportech is a member of the World lottery Association and succeded Rodime. The World Lottery Association operates within the lottery industry and is located in Switzerland.</t>
  </si>
  <si>
    <t>Sportech es miembro de la Asociación Mundial de Loterías y ha sucedido a Rodime. La Asociación Mundial de Loterías opera en el sector de las loterías y tiene su sede en Suiza.</t>
  </si>
  <si>
    <t>[{"text": "tería", "confidence": 0.30517578125, "severity": "critical", "start": 50, "end": 55}, {"text": "ha sucedido", "confidence": 0.31103515625, "severity": "critical", "start": 58, "end": 70}, {"text": "ime", "confidence": 0.306396484375, "severity": "critical", "start": 76, "end": 79}]</t>
  </si>
  <si>
    <t>Explanation for errors: The critical errors in the translation are the incorrect translations of "lottery" and "succeded." The word "lotería" is a direct translation of "lottery," but the context of the sentence requires a plural form to match the English source's "lotteries." Additionally, "ha sucedido" translates to "has succeeded," which is grammatically correct but lacks the nuance of "succeeded" in the context of taking over a position or role, which is implied in the English source. The incorrect translations of "Rodime" as "Rodime" and the lack of explanation or translation of the company's name further detract from the quality of the translation.</t>
  </si>
  <si>
    <t>Sportech es miembro de la Asociación Mundial de Loterías y sucedió a Rodime. La Asociación Mundial de Loterías opera en el sector de las loterías y tiene su sede en Suiza.</t>
  </si>
  <si>
    <t>J8K4KF</t>
  </si>
  <si>
    <t>Maduro Lampreado is a dish from Ecuador, whose capital is Maduro Lampreado, and the official language is Shuar.</t>
  </si>
  <si>
    <t>Maduro Lampreado es un plato de Ecuador, cuya capital es Maduro Lampreado, y el idioma oficial es el shuar.</t>
  </si>
  <si>
    <t>[{"text": "Lamp", "confidence": 0.3046875, "severity": "critical", "start": 6, "end": 11}, {"text": "plato", "confidence": 0.30908203125, "severity": "critical", "start": 22, "end": 28}, {"text": "Maduro Lamp", "confidence": 0.3017578125, "severity": "critical", "start": 56, "end": 68}, {"text": "y", "confidence": 0.307861328125, "severity": "critical", "start": 74, "end": 76}, {"text": "el shuar", "confidence": 0.317626953125, "severity": "critical", "start": 97, "end": 106}]</t>
  </si>
  <si>
    <t>Explanation for errors: The translation of "Maduro Lampreado" as "Maduro Lampreado" is incorrect because it fails to recognize "Maduro Lampreado" as a proper noun, which should not be translated literally. Additionally, "plato" is a mistranslation of "dish" in this context, as "plato" refers to a dish of food, not a dish in the sense of a dish from a country's cuisine. The repetition of "Maduro Lampreado" as the capital of Ecuador is incorrect because it does not convey that "Maduro Lampreado" is the name of a place, not a description of the capital. The use of "el shuar" for "Shuar" is not incorrect but could be improved by using the term "shuar" with a definite article "el" to match the structure of the sentence more closely.</t>
  </si>
  <si>
    <r>
      <rPr>
        <rFont val="Calibri"/>
        <color theme="1"/>
      </rPr>
      <t xml:space="preserve">Maduro Lampreado es un plato típico de Ecuador, </t>
    </r>
    <r>
      <rPr>
        <rFont val="Calibri"/>
        <b/>
        <color rgb="FFFF0000"/>
      </rPr>
      <t>cuya capital es Maduro Lampreado</t>
    </r>
    <r>
      <rPr>
        <rFont val="Calibri"/>
        <color theme="1"/>
      </rPr>
      <t>, y el idioma oficial es el shuar.</t>
    </r>
  </si>
  <si>
    <t>G4BFIK</t>
  </si>
  <si>
    <t>Liga Petit was born in Maracay and works as a model. Maracay is twinned with Salta and is located in Municipio Giradot. The profession of a model partly coincides with that of a fashion model.</t>
  </si>
  <si>
    <t>Liga Petit nació en Maracay y trabaja como modelo. Maracay está hermanada con Salta y se encuentra en el Municipio Giradot. La profesión de modelo coincide en parte con la de modelo de moda.</t>
  </si>
  <si>
    <t>[{"text": "modelo", "confidence": 0.309326171875, "severity": "critical", "start": 139, "end": 146}, {"text": "de moda", "confidence": 0.3046875, "severity": "critical", "start": 181, "end": 189}]</t>
  </si>
  <si>
    <t>Explanation for error: The repetition of the word "modelo" (model) in the phrase "La profesión de modelo coincide en parte con la de modelo de moda" is redundant and incorrect. The first instance of "modelo" should be followed by a noun or a more specific term to clarify the type of model being referred to, as the English source distinguishes between a "model" and a "fashion model." The translation fails to capture this distinction, leading to confusion and a lack of clarity.</t>
  </si>
  <si>
    <t>STR0ZU</t>
  </si>
  <si>
    <t>Kathleen Carlo-Kendall, whose given name is Kathleen, was educated at University of Alaska Fairbanks.</t>
  </si>
  <si>
    <t>Kathleen Carlo-Kendall, cuyo nombre de pila es Kathleen, estudió en la Universidad de Alaska Fairbanks.</t>
  </si>
  <si>
    <t>[{"text": "nombre de pila", "confidence": 0.31005859375, "severity": "critical", "start": 28, "end": 43}]</t>
  </si>
  <si>
    <t>Explanation for error: The term "nombre de pila" is a direct translation of "given name" but is not the most natural or commonly used term in Spanish for this context. The more appropriate term would be "nombre" or "primer nombre," which are more commonly used to refer to a person's first name in Spanish. The use of "nombre de pila" can sound overly formal or even incorrect in everyday language.</t>
  </si>
  <si>
    <t>Kathleen Carlo-Kendall, cuyo nombre es Kathleen, estudió en la Universidad de Alaska Fairbanks.</t>
  </si>
  <si>
    <t>HHQXFW</t>
  </si>
  <si>
    <t>Broccolo friariello di Napoli belongs to the broccoli group.</t>
  </si>
  <si>
    <t>El brécol friariello di Napoli pertenece al grupo de los brécoles.</t>
  </si>
  <si>
    <t>[{"text": "brécol friariello di", "confidence": 0.304931640625, "severity": "critical", "start": 3, "end": 23}, {"text": "los brécoles", "confidence": 0.31640625, "severity": "critical", "start": 52, "end": 65}]</t>
  </si>
  <si>
    <t>Explanation for error: The phrase "brécol friariello di Napoli" is a direct translation of "Broccolo friariello di Napoli," but it fails to convey the specific variety of broccoli being referred to. The term "friariello" is a specific variety of broccoli native to the Naples region of Italy, and its direct inclusion in the translation without explanation or adaptation to the target language's naming conventions for vegetables can confuse readers unfamiliar with the term. Additionally, the structure of the sentence in Spanish is awkward and does not flow naturally.</t>
  </si>
  <si>
    <t>El brécol friariello napolitano pertenece al grupo de los brócolis.</t>
  </si>
  <si>
    <t>El Broccolo friariello di Napoli pertenece al grupo de los brócolis.</t>
  </si>
  <si>
    <t>DSA2FP</t>
  </si>
  <si>
    <t>Karla Spice was born in Caracas, which is located in the Libertador Municipality and is twinned with San Francisco.</t>
  </si>
  <si>
    <t>Karla Spice nació en Caracas, ciudad situada en el municipio Libertador y hermanada con San Francisco.</t>
  </si>
  <si>
    <t>[{"text": "municipio", "confidence": 0.308349609375, "severity": "critical", "start": 50, "end": 60}]</t>
  </si>
  <si>
    <t>Explanation for error: The term "municipio" is used in the translation to refer to "municipality," which is technically correct. However, the use of "municipio" in this context might be slightly misleading because it could imply a smaller administrative division than what "municipality" typically conveys in English. The term "municipio" in Spanish can indeed refer to a municipality, but in the context of the English source, which likely refers to a larger administrative division, a term like "distrito" (district) or simply "ciudad" (city) might be more appropriate to convey the scale and administrative level of "municipality" in English.</t>
  </si>
  <si>
    <t>Karla Spice nació en Caracas, ciudad situada en el distrito Libertador y hermanada con San Francisco.</t>
  </si>
  <si>
    <t>Karla Spice nació en Caracas, ciudad ubicada en el Municipio Libertador y hermanada con San Francisco.</t>
  </si>
  <si>
    <t>ZZYG7I</t>
  </si>
  <si>
    <t>Singapore is located in the Asia/Singapore timezone and is a member of the Commonwealth of Nations.</t>
  </si>
  <si>
    <t>Singapur está situado en la zona horaria Asia/Singapur y es miembro de la Commonwealth de Naciones.</t>
  </si>
  <si>
    <t>[{"text": "horaria Asia", "confidence": 0.306884765625, "severity": "critical", "start": 32, "end": 45}, {"text": "ingapur", "confidence": 0.311279296875, "severity": "critical", "start": 47, "end": 54}, {"text": "alth de Naciones", "confidence": 0.30859375, "severity": "critical", "start": 82, "end": 98}]</t>
  </si>
  <si>
    <t>Explanation for error1: The phrase "zona horaria Asia/Singapur" is a direct translation of "Asia/Singapore timezone." However, the error lies in the incorrect formatting of the time zone name, which should be written as "Asia/Singapore" without the slash between "Asia" and "Singapore." This is a critical error because it misrepresents the standard format for time zone names, which is a common issue in translations involving time zones.
Explanation for error2: The repetition of "Singapur" in "zona horaria Asia/Singapur y es miembro de la Commonwealth de Naciones" is redundant and incorrect. The correct translation should only include the name of the country once, as it is not necessary to repeat it in the context of the time zone and the Commonwealth of Nations. This is a critical error because it disrupts the flow and clarity of the sentence.
Explanation for error3: The term "Commonwealth de Naciones" is a mistranslation of "Commonwealth of Nations." The correct translation should be "Commonwealth de Naciones," which is the official name of the organization in Spanish. This is a critical error because it misrepresents the name of the organization, which is a significant detail.</t>
  </si>
  <si>
    <t>6QV6X2</t>
  </si>
  <si>
    <t>Kasubi Tombs are named after Kasubi Hill, and have been designated a National Cultural Site of Uganda. They are listed among the World Heritage Sites in Danger.</t>
  </si>
  <si>
    <t>Las Tumbas de Kasubi deben su nombre a la colina de Kasubi, y han sido designadas Sitio Cultural Nacional de Uganda. Están incluidas en la Lista del Patrimonio Mundial en Peligro.</t>
  </si>
  <si>
    <t>[{"text": "Tum", "confidence": 0.303955078125, "severity": "critical", "start": 3, "end": 7}, {"text": "del Patrimonio Mundial en Peligro", "confidence": 0.303466796875, "severity": "critical", "start": 144, "end": 178}]</t>
  </si>
  <si>
    <t>Explanation for error "Tum": The error "Tum" in "Las Tumbas de Kasubi" is a typographical error where the word "Tumbas" is incorrectly split into "Tum" and "bas." This disrupts the readability and understanding of the sentence. The correct term should be "Tumbas" without any splitting, as it refers to the plural form of "tomb" in English, which is correctly translated as "tumbas" in Spanish.
Explanation for error "del Patrimonio Mundial en Peligro": The phrase "del Patrimonio Mundial en Peligro" is a direct translation of "of the World Heritage Sites in Danger." While the translation is not incorrect, the phrasing could be improved for clarity and to better match the formal tone of the original English sentence. A more precise translation might use terminology that more clearly conveys the designation of being listed as a site in danger, such as "en peligro" (in danger) or "en peligro de extinción" (endangered), to emphasize the critical status of the site.</t>
  </si>
  <si>
    <t>Las Tumbas de Kasubi deben su nombre a la colina de Kasubi y han sido designadas como Sitio Cultural Nacional de Uganda. Están incluidas en la Lista del Patrimonio Mundial en Peligro.</t>
  </si>
  <si>
    <t>Las Tumbas de Kasubi deben su nombre a la colina de Kasubi y han sido designadas como Sitio Cultural Nacional de Uganda. Están incluidas en la Lista del Patrimonio de la Humanidad en Peligro.</t>
  </si>
  <si>
    <t>6II7CP</t>
  </si>
  <si>
    <t>The Texas Tech University College of Arts &amp; Sciences is located in Lubbock, which is governed by Tray Payne and is in the Central Time Zone</t>
  </si>
  <si>
    <t>La Facultad de Artes y Ciencias de la Universidad Tecnológica de Texas se encuentra en Lubbock, gobernada por Tray Payne y en la zona horaria central.</t>
  </si>
  <si>
    <t>[{"text": "Facultad", "confidence": 0.3037109375, "severity": "critical", "start": 2, "end": 11}, {"text": "Pay", "confidence": 0.305419921875, "severity": "critical", "start": 114, "end": 118}, {"text": "central", "confidence": 0.30615234375, "severity": "critical", "start": 141, "end": 149}]</t>
  </si>
  <si>
    <t>Explanation for error "Facultad": The term "Facultad" is used in Spanish to refer to a "college" or "faculty" in a university context. However, in the original English source, "College of Arts &amp; Sciences" is a specific name of a college within the Texas Tech University, not just a generic term for a faculty or college. The translation should maintain the specific name "College of Arts &amp; Sciences" to accurately reflect the original text.
Explanation for error "Payne": The name "Tray Payne" is incorrectly translated. In the original English source, "Tray Payne" is a proper noun, referring to a person's name. The translation should maintain the original spelling and formatting of proper nouns, including names, to ensure accuracy and respect for the individual's identity.
Explanation for error "central": The term "central" is correctly translated but lacks the specificity of the original English text, which mentions "Central Time Zone." The translation should include the specific time zone to provide complete information about the location's time zone, as it is a significant detail in the original text.</t>
  </si>
  <si>
    <t>La Universidad Tecnológica de Texas, College of Arts &amp; Sciences, se encuentra en Lubbock, gobernada por Tray Payne y se ubica en la zona horaria del Centro.</t>
  </si>
  <si>
    <t>La Texas Tech University College of Arts &amp; Sciences se encuentra en Lubbock, gobernada por Tray Payne y se ubica en la zona horaria del Centro.</t>
  </si>
  <si>
    <t>VPDTEX</t>
  </si>
  <si>
    <t>Themisthocles was born in Turkey and he was a citizen of the Classical Athens. Themistocles's spouse is Archippe.</t>
  </si>
  <si>
    <t>Temístocles nació en Turquía y fue ciudadano de la Atenas clásica. La esposa de Temístocles es Arquipo.</t>
  </si>
  <si>
    <t>[{"text": "esposa", "confidence": 0.306884765625, "severity": "critical", "start": 69, "end": 76}, {"text": "í", "confidence": 0.302978515625, "severity": "critical", "start": 83, "end": 84}, {"text": "es Arquipo", "confidence": 0.320068359375, "severity": "critical", "start": 91, "end": 102}]</t>
  </si>
  <si>
    <t>Explanation for error1: The word "esposa" is a mistranslation of "spouse," which in this context should be gender-neutral to encompass both spouses, not just the female spouse. The correct term should be "cónyuge" to be gender-neutral and inclusive.
Explanation for error2: The name "Temístocles" is correctly translated, but the analysis mistakenly marks "Temístocles" as an error due to the incorrect analysis of "esposa." The name itself is not incorrect.
Explanation for error3: The name "Arquipo" is an incorrect transliteration of "Archippe." The correct transliteration should maintain the original pronunciation as closely as possible, which would be "Arquippe."</t>
  </si>
  <si>
    <t>Temístocles nació en Turquía y fue ciudadano de la Atenas clásica. El cónyuge de Temístocles es Arquippe.</t>
  </si>
  <si>
    <t>0TBR86</t>
  </si>
  <si>
    <t xml:space="preserve"> Ivánovo-Yasiunija Airport is located in Russia and serves the city of Ivanovo, which is party of the Ivánovo Urban Okrug.</t>
  </si>
  <si>
    <t xml:space="preserve"> El aeropuerto de Ivánovo-Yasiunija está situado en Rusia y da servicio a la ciudad de Ivánovo, que forma parte del Distrito Urbano de Ivánovo.</t>
  </si>
  <si>
    <t>[{"text": "Distrito Urban", "confidence": 0.30859375, "severity": "minor", "start": 115, "end": 130}, {"text": "de I", "confidence": 0.299560546875, "severity": "critical", "start": 131, "end": 136}, {"text": "novo", "confidence": 0.302001953125, "severity": "critical", "start": 138, "end": 142}]</t>
  </si>
  <si>
    <t>Explanation for error: The term "Distrito Urbano" is a direct translation of "Urban Okrug," which is not incorrect but might not fully convey the specific administrative division referred to in English. The term "Urban Okrug" is a Russian administrative division that is similar to a district or municipality, and the translation could be more precise to reflect its administrative status. Additionally, the segmentation of the city name "Ivánovo" into "Ivánovo" and "de I" is a critical error due to the incorrect separation of the city's name, which could lead to confusion. The correct translation should maintain the integrity of the city's name without unnecessary segmentation.</t>
  </si>
  <si>
    <t>El aeropuerto de Ivánovo-Yasiunija está situado en Rusia y da servicio a la ciudad de Ivánovo, que forma parte del Okrug Urbano de Ivánovo.</t>
  </si>
  <si>
    <t>GFKFL6</t>
  </si>
  <si>
    <t>The Universidad Guadalajara Lamar is located in Mexico. Yucatec Maya is an official language of Mexico, which is located in North America and whose capital is Mexico City.</t>
  </si>
  <si>
    <t>La Universidad Guadalajara Lamar se encuentra en México. El maya yucateco es una lengua oficial de México, país situado en América del Norte y cuya capital es Ciudad de México.</t>
  </si>
  <si>
    <t>[{"text": "maya y", "confidence": 0.3115234375, "severity": "minor", "start": 59, "end": 66}, {"text": "cateco", "confidence": 0.30615234375, "severity": "critical", "start": 67, "end": 73}]</t>
  </si>
  <si>
    <t>Explanation for error "maya y": The error here is a typographical one, where the word "yucateco" is incorrectly split into "maya y ucateco." This disrupts the readability and understanding of the sentence. Proper nouns, especially names of languages, should be kept intact to avoid confusion and maintain accuracy.
Explanation for error "cateco": The term "cateco" is an incorrect transliteration of "yucateco," which refers to the Mayan language spoken in the Yucatán Peninsula. The correct transliteration should be "yucateco," which is the adjective form of "Yucatán" and refers to the language spoken in that region. This error significantly impacts the accuracy of the translation as it misidentifies the language being discussed.</t>
  </si>
  <si>
    <t>ESL8VR</t>
  </si>
  <si>
    <t>Finike is located in the district of Finike, Turkey, and is twinned with Mosbach</t>
  </si>
  <si>
    <t>Finike se encuentra en el distrito de Finike, Turquía, y está hermanada con Mosbach</t>
  </si>
  <si>
    <t>[{"text": "hermana", "confidence": 0.3095703125, "severity": "critical", "start": 61, "end": 69}]</t>
  </si>
  <si>
    <t>Explanation for error: The term "hermana" is a mistranslation of "twinned" in this context. "Hermanada" is a term used to describe a relationship between sister cities, which implies a closer, more familial bond than what "twinned" suggests. "Twinned" refers to a formal, often government-sanctioned, relationship between two cities, typically for the purpose of cultural, commercial, or educational exchange. The correct translation should reflect the formal and mutually beneficial nature of the relationship between Finike and Mosbach.</t>
  </si>
  <si>
    <t>Finike se encuentra en el distrito de Finike, Turquía, y está gemela con Mosbach.</t>
  </si>
  <si>
    <t>Finike se encuentra en el distrito de Finike, Turquía, y está hermanada con Mosbach.</t>
  </si>
  <si>
    <t>4ZI616</t>
  </si>
  <si>
    <t>Donald Trump received the Order of Freedom and is married to Melania Trump.</t>
  </si>
  <si>
    <t>Donald Trump recibió la Orden de la Libertad y está casado con Melania Trump.</t>
  </si>
  <si>
    <t>[{"text": "la Orden de la Libertad", "confidence": 0.306884765625, "severity": "critical", "start": 20, "end": 44}]</t>
  </si>
  <si>
    <t>Explanation for error: The phrase "la Orden de la Libertad" is a direct translation of "the Order of Freedom," which might be technically correct but lacks context in Spanish. The term "Orden" can indeed mean "order" in the sense of an award or honor, but without specifying the nature of the order, it might be unclear to a Spanish-speaking audience what kind of award is being referred to. Additionally, the translation does not convey the formal or honorary nature of the award, which is crucial for understanding the significance of the statement.</t>
  </si>
  <si>
    <t>XPMYW4</t>
  </si>
  <si>
    <t>The Tell Asmar Hoard is made of gypsum and depicts worship.</t>
  </si>
  <si>
    <t>El tesoro de Tell Asmar es de yeso y representa el culto.</t>
  </si>
  <si>
    <t>[{"text": "El tesoro de Tell Asmar es de yeso y representa el culto", "confidence": 0.357177734375, "severity": "major", "start": 0, "end": 56}]</t>
  </si>
  <si>
    <t>Explanation for error: The phrase "El tesoro de Tell Asmar es de yeso y representa el culto" is a direct translation of the English source. However, the translation is somewhat awkward and does not fully capture the nuances of the original sentence. The term "hoard" in English can refer to a large collection of valuable objects, often of archaeological or historical significance, which is not fully conveyed by the word "tesoro" (treasure). Additionally, the phrase "representa el culto" could be more accurately translated to reflect the act of worship rather than just "representing" it.</t>
  </si>
  <si>
    <t>El yacimiento de Tell Asmar está compuesto por yeso y representa actos de adoración.</t>
  </si>
  <si>
    <t>CRYLJR</t>
  </si>
  <si>
    <t>Modi'in Illit is located in Judea and Samaria Area</t>
  </si>
  <si>
    <t>Modi'in Illit se encuentra en la zona de Judea y Samaria</t>
  </si>
  <si>
    <t>[{"text": "Modi'in Illit", "confidence": 0.306884765625, "severity": "critical", "start": 0, "end": 13}]</t>
  </si>
  <si>
    <t>Explanation for error: The error marked in the translation quality analysis seems to be pointing out the lack of a space between "Modi'in" and "Illit." In Spanish, proper nouns, especially names of places, should be correctly spaced to adhere to the rules of Spanish orthography. The absence of a space could lead to confusion or misinterpretation of the name.</t>
  </si>
  <si>
    <t>L7EO4U</t>
  </si>
  <si>
    <t>The Palace of Music is located in Hungary. The head of state of Hungary is Tamás Sulyok</t>
  </si>
  <si>
    <t>El Palacio de la Música se encuentra en Hungría. El Jefe de Estado de Hungría es Tamás Sulyok</t>
  </si>
  <si>
    <t>[{"text": "Palacio de", "confidence": 0.31103515625, "severity": "critical", "start": 2, "end": 13}, {"text": "Música", "confidence": 0.308349609375, "severity": "critical", "start": 16, "end": 23}]</t>
  </si>
  <si>
    <t>Explanation for error: The phrase "El Palacio de la Música" is a critical error because it inaccurately translates "The Palace of Music." The correct translation should reflect the specific name or title of the place, which is "The Palace of Music" in English. The translation provided does not accurately convey the original name of the location, leading to confusion about the subject matter. Additionally, the translation of "Tamás Sulyok" as "Tamás Sulyok" is correct, but the analysis might have mistakenly marked it as an error due to formatting or contextual issues.</t>
  </si>
  <si>
    <t>BV8MZ9</t>
  </si>
  <si>
    <t>The Polsterberg Pumphouse is located in Germany and specifically in Clausthal-Zellerfeld. Germany borders with Belgium and its president is Frank-Walter Steinmeier</t>
  </si>
  <si>
    <t>El pozo de Polsterberg se encuentra en Alemania, concretamente en Clausthal-Zellerfeld. Alemania limita con Bélgica y su presidente es Frank-Walter Steinmeier</t>
  </si>
  <si>
    <t>[{"text": "poz", "confidence": 0.310791015625, "severity": "critical", "start": 2, "end": 6}]</t>
  </si>
  <si>
    <t>Explanation for error: The term "pozo" is a mistranslation of "Pumphouse" in this context. "Pumphouse" refers to a structure used to house pumps, typically associated with water supply or drainage systems. The incorrect translation to "pozo" suggests a well or a water source, which is not the intended meaning. The correct term should reflect the structure's purpose as a pumping station or facility.</t>
  </si>
  <si>
    <t>La estación de bombeo de Polsterberg se encuentra en Alemania, específicamente en Clausthal-Zellerfeld. Alemania limita con Bélgica y su presidente es Frank-Walter Steinmeier.</t>
  </si>
  <si>
    <t>U3JT7Z</t>
  </si>
  <si>
    <t>Giovanni Malagò is an Italian Citizen whose field of work was in the olympic games.</t>
  </si>
  <si>
    <t>Giovanni Malagò es un ciudadano italiano cuyo campo de trabajo fueron los Juegos Olímpicos.</t>
  </si>
  <si>
    <t>[{"text": "fueron", "confidence": 0.3076171875, "severity": "critical", "start": 62, "end": 69}]</t>
  </si>
  <si>
    <t>Explanation for error: The use of "fueron" (were) in the translation introduces a plural form, which is incorrect in this context. The English source specifies "field of work was in the olympic games," indicating a singular field of work. The correct translation should reflect the singularity of the field of work to accurately convey the meaning of the original sentence.</t>
  </si>
  <si>
    <t>Giovanni Malagò es un ciudadano italiano cuyo campo de trabajo fue en los Juegos Olímpicos.</t>
  </si>
  <si>
    <t>GRAM72</t>
  </si>
  <si>
    <t>Pièce d'eau des Suisses is located in France, whose capital is Paris.</t>
  </si>
  <si>
    <t>Pièce d'eau des Suisses se encuentra en Francia, cuya capital es París.</t>
  </si>
  <si>
    <t>[{"text": "Pièce d", "confidence": 0.319580078125, "severity": "critical", "start": 0, "end": 7}, {"text": "eau", "confidence": 0.315673828125, "severity": "minor", "start": 8, "end": 11}]</t>
  </si>
  <si>
    <t>Explanation for error: The error marked as "critical" is the incorrect segmentation of the word "Pièce d'eau," which should be treated as a single term. The correct translation should not split the term into "Pièce" and "eau," as it is a proper noun referring to a specific place name. This error significantly impacts the accuracy of the translation because it misrepresents the name of the location.
Additionally, the minor error with "eau" is related to the lack of an accent on the "e" in "eau," which is a common mistake in Spanish. While not as critical as the first error, it does affect the proper noun's spelling and could potentially confuse readers unfamiliar with the correct spelling.</t>
  </si>
  <si>
    <t>La Pièce d'eau des Suisses se encuentra en Francia, cuya capital es París.</t>
  </si>
  <si>
    <t>BUIBOO</t>
  </si>
  <si>
    <t>Equipo Ideal de la Copa Sudamericana is a part of Copa Sudamericana</t>
  </si>
  <si>
    <t>El Equipo Ideal de la Copa Sudamericana forma parte de la Copa Sudamericana</t>
  </si>
  <si>
    <t>[{"text": "El Equipo Ideal de la Copa Sudamericana", "confidence": 0.308349609375, "severity": "minor", "start": 0, "end": 39}]</t>
  </si>
  <si>
    <t>El Equipo Ideal de la Copa Sudamericana es una selección dentro de la Copa Sudamericana.</t>
  </si>
  <si>
    <t>Equipo Ideal de la Copa Sudamericana es parte de la Copa Sudamericana</t>
  </si>
  <si>
    <t>5M1QP1</t>
  </si>
  <si>
    <t>The Palace Galmanini Portaluppi, located in Milan, Italy. It is an example of Italian design.</t>
  </si>
  <si>
    <t>El Palacio Galmanini Portaluppi, situado en Milán, Italia. Es un ejemplo del diseño italiano.</t>
  </si>
  <si>
    <t>Explanation for error: The translation is generally accurate, but there is a minor error in the use of "situado" instead of "situada" to match the feminine noun "Palace" in English. Additionally, the translation could be improved by specifying that the palace is an example of Italian design, which is implied but not explicitly stated.</t>
  </si>
  <si>
    <t>El Palacio Galmanini Portaluppi, situada en Milán, Italia, es un ejemplo del diseño italiano.</t>
  </si>
  <si>
    <t>0NQ91I</t>
  </si>
  <si>
    <t>Cambridge University Golf Club plays golf. Cambridge University Golf Club is in the electoral district of West Suffolk.</t>
  </si>
  <si>
    <t>El Club de Golf de la Universidad de Cambridge juega al golf. Cambridge University Golf Club se encuentra en el distrito electoral de West Suffolk.</t>
  </si>
  <si>
    <t>[{"text": "Club de Golf", "confidence": 0.304443359375, "severity": "critical", "start": 2, "end": 15}, {"text": "juega", "confidence": 0.3037109375, "severity": "critical", "start": 46, "end": 52}]</t>
  </si>
  <si>
    <t>Explanation for error: The phrase "El Club de Golf de la Universidad de Cambridge" is a direct translation of "Cambridge University Golf Club." However, the use of "El" before "Club de Golf" is not incorrect but could be seen as unnecessary or stylistically awkward in Spanish. Additionally, the verb "juega" (plays) is used to translate "plays golf," which is grammatically correct but could be more naturally expressed in Spanish. The use of "juega" might imply a more casual or individual activity rather than the organized and collective nature of a golf club.</t>
  </si>
  <si>
    <t>El Cambridge University Golf Club practica golf. El Cambridge University Golf Club se encuentra en el distrito electoral de West Suffolk.</t>
  </si>
  <si>
    <t>UT2E5O</t>
  </si>
  <si>
    <t>The Cincinnati Municipal Lunken Airport is located in Ohio and is in the America/New_York timezone.</t>
  </si>
  <si>
    <t>El Aeropuerto Municipal Lunken de Cincinnati está en Ohio y en la zona horaria America/New_York.</t>
  </si>
  <si>
    <t>[{"text": "horaria America", "confidence": 0.30517578125, "severity": "critical", "start": 70, "end": 86}, {"text": "_", "confidence": 0.308349609375, "severity": "critical", "start": 90, "end": 91}]</t>
  </si>
  <si>
    <t>Explanation for error: The translation of "America/New_York" as "horaria America/New_York" is incorrect because it treats "America/New_York" as a noun phrase rather than recognizing it as a specific time zone designation. Additionally, the underscore in "New_York" is incorrectly translated as a space, which could lead to confusion or misinterpretation of the time zone name. The correct approach would be to treat "America/New_York" as a proper noun and maintain the original formatting without adding spaces or altering the structure.</t>
  </si>
  <si>
    <t>F2FC9R</t>
  </si>
  <si>
    <t>The Pöbelbach crosses Sächsische Schweiz-Osterzgebirge and flows out in the Red Weißeritz. Sächsische Schweiz-Osterzgebirge borders with the Bautzen District and is governed by Michael Geisler</t>
  </si>
  <si>
    <t>El Pöbelbach atraviesa Sächsische Schweiz-Osterzgebirge y desemboca en el Weißeritz Rojo. Sächsische Schweiz-Osterzgebirge limita con el distrito de Bautzen y está gobernado por Michael Geisler</t>
  </si>
  <si>
    <t>[{"text": "atra", "confidence": 0.30712890625, "severity": "critical", "start": 12, "end": 17}, {"text": "Weißeritz Rojo", "confidence": 0.31396484375, "severity": "critical", "start": 73, "end": 88}, {"text": "limita", "confidence": 0.3125, "severity": "critical", "start": 122, "end": 129}]</t>
  </si>
  <si>
    <t>Explanation for error "El Pöbelbach atraviesa Sächsische Schweiz-Osterzgebirge y desemboca en el Weißeritz Rojo": The error here is a critical one due to the incorrect translation of the name "Weißeritz" as "Weißeritz Rojo." The correct translation should maintain the original name without adding "Rojo" (red), as it seems to be an attempt to translate the color of the river but ends up being incorrect and confusing. Additionally, the name "Pöbelbach" is not translated, which is a minor error but could lead to confusion about the name of the river being discussed.
Explanation for error "Sächsische Schweiz-Osterzgebirge limita con el distrito de Bautzen y está gobernado por Michael Geisler": The phrase "limita con el distrito de Bautzen" is a correct translation but could be more accurately translated to reflect the geographical relationship more clearly. The term "limita" (borders) is correct, but the phrase could be enhanced to better convey the administrative and geographical context. Additionally, the name "Michael Geisler" is correctly translated, but the context of his role (governed by) could be more clearly expressed in Spanish.</t>
  </si>
  <si>
    <t>El Pöbelbach atraviesa Sächsische Schweiz-Osterzgebirge y desemboca en el Weißeritz. Sächsische Schweiz-Osterzgebirge limita con el distrito de Bautzen y está gobernado por Michael Geisler.</t>
  </si>
  <si>
    <t>P352L5</t>
  </si>
  <si>
    <t>La Pila del Mondo is located in Colombia, whose capital is Bogotá, and the official language is Spanish.</t>
  </si>
  <si>
    <t>La Pila del Mondo se encuentra en Colombia, cuya capital es Bogotá, y el idioma oficial es el español.</t>
  </si>
  <si>
    <t>[{"text": "Pil", "confidence": 0.3115234375, "severity": "critical", "start": 2, "end": 6}]</t>
  </si>
  <si>
    <t>Explanation for error: The error in the translation is the incorrect segmentation of the word "Pila" into "Pil" and "a," which disrupts the readability and understanding of the sentence. The correct term should be "Pila" as a single word, referring to "The World's Fountain" or a similar name, which is a proper noun and should not be segmented. This error significantly impacts the clarity of the sentence, making it confusing for readers who might not understand the reference to "La Pila del Mondo."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</si>
</sst>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scheme val="minor"/>
    </font>
    <font>
      <b/>
      <sz val="9.0"/>
      <color theme="1"/>
      <name val="Arial"/>
    </font>
    <font>
      <b/>
      <sz val="9.0"/>
      <color rgb="FF434343"/>
      <name val="Arial"/>
    </font>
    <font>
      <b/>
      <sz val="9.0"/>
      <color rgb="FF434343"/>
      <name val="Calibri"/>
    </font>
    <font>
      <b/>
      <sz val="12.0"/>
      <color rgb="FF434343"/>
      <name val="Arial"/>
    </font>
    <font>
      <color theme="1"/>
      <name val="Calibri"/>
      <scheme val="minor"/>
    </font>
    <font>
      <sz val="11.0"/>
      <color theme="1"/>
      <name val="Calibri"/>
    </font>
  </fonts>
  <fills count="5">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2" numFmtId="0" xfId="0" applyAlignment="1" applyBorder="1" applyFill="1" applyFont="1">
      <alignment shrinkToFit="0" vertical="center" wrapText="1"/>
    </xf>
    <xf borderId="1" fillId="3" fontId="3" numFmtId="0" xfId="0" applyAlignment="1" applyBorder="1" applyFill="1" applyFont="1">
      <alignment shrinkToFit="0" vertical="center" wrapText="1"/>
    </xf>
    <xf borderId="1" fillId="3" fontId="4" numFmtId="0" xfId="0" applyAlignment="1" applyBorder="1" applyFont="1">
      <alignment shrinkToFit="0" vertical="center" wrapText="1"/>
    </xf>
    <xf borderId="1" fillId="4" fontId="3" numFmtId="0" xfId="0" applyAlignment="1" applyBorder="1" applyFill="1" applyFont="1">
      <alignment shrinkToFit="0" vertical="bottom" wrapText="1"/>
    </xf>
    <xf borderId="1" fillId="4" fontId="5" numFmtId="0" xfId="0" applyAlignment="1" applyBorder="1" applyFont="1">
      <alignment shrinkToFit="0" vertical="bottom" wrapText="1"/>
    </xf>
    <xf borderId="0" fillId="0" fontId="6" numFmtId="0" xfId="0" applyAlignment="1" applyFont="1">
      <alignment shrinkToFit="0" wrapText="1"/>
    </xf>
    <xf borderId="0" fillId="0" fontId="7" numFmtId="0" xfId="0" applyAlignment="1" applyFont="1">
      <alignment shrinkToFit="0" vertical="center" wrapText="1"/>
    </xf>
    <xf borderId="0" fillId="0" fontId="7" numFmtId="0" xfId="0" applyAlignment="1" applyFont="1">
      <alignment shrinkToFit="0" vertical="bottom" wrapText="1"/>
    </xf>
    <xf borderId="0" fillId="0" fontId="7" numFmtId="0" xfId="0" applyAlignment="1" applyFont="1">
      <alignment horizontal="center" shrinkToFit="0" wrapText="1"/>
    </xf>
    <xf borderId="0" fillId="0" fontId="7" numFmtId="0" xfId="0" applyAlignment="1" applyFont="1">
      <alignment readingOrder="0" shrinkToFit="0" vertical="center" wrapText="1"/>
    </xf>
    <xf borderId="0" fillId="0" fontId="7" numFmtId="0" xfId="0" applyAlignment="1" applyFont="1">
      <alignment readingOrder="0" shrinkToFit="0" vertical="bottom" wrapText="1"/>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35.14"/>
    <col customWidth="1" hidden="1" min="5" max="6" width="8.71"/>
    <col customWidth="1" min="7" max="7" width="16.86"/>
    <col customWidth="1" hidden="1" min="8" max="12" width="8.71"/>
    <col customWidth="1" min="13" max="13" width="37.71"/>
    <col customWidth="1" min="14" max="23" width="8.71"/>
    <col customWidth="1" min="24" max="24" width="29.71"/>
    <col customWidth="1" min="25" max="25" width="8.71"/>
    <col customWidth="1" min="26" max="26" width="11.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3" t="s">
        <v>18</v>
      </c>
      <c r="T1" s="4" t="s">
        <v>19</v>
      </c>
      <c r="U1" s="4" t="s">
        <v>20</v>
      </c>
      <c r="V1" s="3" t="s">
        <v>21</v>
      </c>
      <c r="W1" s="3" t="s">
        <v>22</v>
      </c>
      <c r="X1" s="5" t="s">
        <v>23</v>
      </c>
      <c r="Y1" s="6" t="s">
        <v>24</v>
      </c>
      <c r="Z1" s="6" t="s">
        <v>25</v>
      </c>
    </row>
    <row r="2">
      <c r="A2" s="7" t="s">
        <v>26</v>
      </c>
      <c r="B2" s="7" t="s">
        <v>27</v>
      </c>
      <c r="C2" s="7" t="s">
        <v>28</v>
      </c>
      <c r="D2" s="7" t="s">
        <v>29</v>
      </c>
      <c r="E2" s="7" t="s">
        <v>30</v>
      </c>
      <c r="F2" s="7">
        <v>0.5032285451889038</v>
      </c>
      <c r="G2" s="7" t="s">
        <v>31</v>
      </c>
      <c r="H2" s="7" t="s">
        <v>32</v>
      </c>
      <c r="I2" s="7">
        <v>0.0</v>
      </c>
      <c r="J2" s="7">
        <v>0.0</v>
      </c>
      <c r="K2" s="7">
        <v>2.0</v>
      </c>
      <c r="L2" s="7" t="s">
        <v>33</v>
      </c>
      <c r="M2" s="7" t="s">
        <v>34</v>
      </c>
      <c r="N2" s="8"/>
      <c r="O2" s="8"/>
      <c r="P2" s="8"/>
      <c r="Q2" s="8"/>
      <c r="R2" s="8"/>
      <c r="S2" s="8"/>
      <c r="T2" s="8"/>
      <c r="U2" s="8"/>
      <c r="V2" s="8"/>
      <c r="W2" s="8"/>
      <c r="X2" s="9"/>
      <c r="Y2" s="10">
        <f t="shared" ref="Y2:Y51" si="1">ABS((N2+O2+P2+Q2+R2)-5)</f>
        <v>5</v>
      </c>
      <c r="Z2" s="10">
        <f t="shared" ref="Z2:Z51" si="2">ABS((S2+T2+U2+V2+W2)-5)</f>
        <v>5</v>
      </c>
    </row>
    <row r="3">
      <c r="A3" s="7" t="s">
        <v>35</v>
      </c>
      <c r="B3" s="7" t="s">
        <v>27</v>
      </c>
      <c r="C3" s="7" t="s">
        <v>28</v>
      </c>
      <c r="D3" s="7" t="s">
        <v>36</v>
      </c>
      <c r="E3" s="7" t="s">
        <v>37</v>
      </c>
      <c r="F3" s="7">
        <v>0.4500058591365814</v>
      </c>
      <c r="G3" s="7" t="s">
        <v>31</v>
      </c>
      <c r="H3" s="7" t="s">
        <v>38</v>
      </c>
      <c r="I3" s="7">
        <v>0.0</v>
      </c>
      <c r="J3" s="7">
        <v>0.0</v>
      </c>
      <c r="K3" s="7">
        <v>2.0</v>
      </c>
      <c r="L3" s="7" t="s">
        <v>39</v>
      </c>
      <c r="M3" s="7" t="s">
        <v>40</v>
      </c>
      <c r="N3" s="8"/>
      <c r="O3" s="8"/>
      <c r="P3" s="8"/>
      <c r="Q3" s="8"/>
      <c r="R3" s="8"/>
      <c r="S3" s="8"/>
      <c r="T3" s="8"/>
      <c r="U3" s="8"/>
      <c r="V3" s="8"/>
      <c r="W3" s="8"/>
      <c r="X3" s="9"/>
      <c r="Y3" s="10">
        <f t="shared" si="1"/>
        <v>5</v>
      </c>
      <c r="Z3" s="10">
        <f t="shared" si="2"/>
        <v>5</v>
      </c>
    </row>
    <row r="4">
      <c r="A4" s="7" t="s">
        <v>41</v>
      </c>
      <c r="B4" s="7" t="s">
        <v>27</v>
      </c>
      <c r="C4" s="7" t="s">
        <v>28</v>
      </c>
      <c r="D4" s="7" t="s">
        <v>42</v>
      </c>
      <c r="E4" s="7" t="s">
        <v>43</v>
      </c>
      <c r="F4" s="7">
        <v>0.577057421207428</v>
      </c>
      <c r="G4" s="7" t="s">
        <v>31</v>
      </c>
      <c r="H4" s="7" t="s">
        <v>44</v>
      </c>
      <c r="I4" s="7">
        <v>1.0</v>
      </c>
      <c r="J4" s="7">
        <v>0.0</v>
      </c>
      <c r="K4" s="7">
        <v>1.0</v>
      </c>
      <c r="L4" s="7"/>
      <c r="M4" s="7" t="s">
        <v>45</v>
      </c>
      <c r="N4" s="8"/>
      <c r="O4" s="11">
        <v>1.0</v>
      </c>
      <c r="P4" s="8"/>
      <c r="Q4" s="8"/>
      <c r="R4" s="8"/>
      <c r="S4" s="8"/>
      <c r="T4" s="8"/>
      <c r="U4" s="8"/>
      <c r="V4" s="8"/>
      <c r="W4" s="8"/>
      <c r="X4" s="12" t="s">
        <v>46</v>
      </c>
      <c r="Y4" s="10">
        <f t="shared" si="1"/>
        <v>4</v>
      </c>
      <c r="Z4" s="10">
        <f t="shared" si="2"/>
        <v>5</v>
      </c>
    </row>
    <row r="5">
      <c r="A5" s="7" t="s">
        <v>47</v>
      </c>
      <c r="B5" s="7" t="s">
        <v>27</v>
      </c>
      <c r="C5" s="7" t="s">
        <v>28</v>
      </c>
      <c r="D5" s="7" t="s">
        <v>48</v>
      </c>
      <c r="E5" s="7" t="s">
        <v>49</v>
      </c>
      <c r="F5" s="7">
        <v>0.4697703123092651</v>
      </c>
      <c r="G5" s="7" t="s">
        <v>31</v>
      </c>
      <c r="H5" s="7" t="s">
        <v>50</v>
      </c>
      <c r="I5" s="7">
        <v>1.0</v>
      </c>
      <c r="J5" s="7">
        <v>0.0</v>
      </c>
      <c r="K5" s="7">
        <v>2.0</v>
      </c>
      <c r="L5" s="7" t="s">
        <v>51</v>
      </c>
      <c r="M5" s="7" t="s">
        <v>52</v>
      </c>
      <c r="N5" s="8"/>
      <c r="O5" s="8"/>
      <c r="P5" s="8"/>
      <c r="Q5" s="8"/>
      <c r="R5" s="8"/>
      <c r="S5" s="8"/>
      <c r="T5" s="8"/>
      <c r="U5" s="8"/>
      <c r="V5" s="8"/>
      <c r="W5" s="8"/>
      <c r="X5" s="9"/>
      <c r="Y5" s="10">
        <f t="shared" si="1"/>
        <v>5</v>
      </c>
      <c r="Z5" s="10">
        <f t="shared" si="2"/>
        <v>5</v>
      </c>
    </row>
    <row r="6">
      <c r="A6" s="7" t="s">
        <v>53</v>
      </c>
      <c r="B6" s="7" t="s">
        <v>27</v>
      </c>
      <c r="C6" s="7" t="s">
        <v>28</v>
      </c>
      <c r="D6" s="7" t="s">
        <v>54</v>
      </c>
      <c r="E6" s="7" t="s">
        <v>55</v>
      </c>
      <c r="F6" s="7">
        <v>0.4753964841365814</v>
      </c>
      <c r="G6" s="7" t="s">
        <v>31</v>
      </c>
      <c r="H6" s="7" t="s">
        <v>56</v>
      </c>
      <c r="I6" s="7">
        <v>0.0</v>
      </c>
      <c r="J6" s="7">
        <v>0.0</v>
      </c>
      <c r="K6" s="7">
        <v>2.0</v>
      </c>
      <c r="L6" s="7" t="s">
        <v>57</v>
      </c>
      <c r="M6" s="7" t="s">
        <v>55</v>
      </c>
      <c r="N6" s="8"/>
      <c r="O6" s="11">
        <v>1.0</v>
      </c>
      <c r="P6" s="8"/>
      <c r="Q6" s="8"/>
      <c r="R6" s="8"/>
      <c r="S6" s="8"/>
      <c r="T6" s="8"/>
      <c r="U6" s="8"/>
      <c r="V6" s="8"/>
      <c r="W6" s="8"/>
      <c r="X6" s="12" t="s">
        <v>58</v>
      </c>
      <c r="Y6" s="10">
        <f t="shared" si="1"/>
        <v>4</v>
      </c>
      <c r="Z6" s="10">
        <f t="shared" si="2"/>
        <v>5</v>
      </c>
    </row>
    <row r="7">
      <c r="A7" s="7" t="s">
        <v>59</v>
      </c>
      <c r="B7" s="7" t="s">
        <v>27</v>
      </c>
      <c r="C7" s="7" t="s">
        <v>28</v>
      </c>
      <c r="D7" s="7" t="s">
        <v>60</v>
      </c>
      <c r="E7" s="7" t="s">
        <v>61</v>
      </c>
      <c r="F7" s="7">
        <v>0.4797910153865814</v>
      </c>
      <c r="G7" s="7" t="s">
        <v>31</v>
      </c>
      <c r="H7" s="7" t="s">
        <v>62</v>
      </c>
      <c r="I7" s="7">
        <v>0.0</v>
      </c>
      <c r="J7" s="7">
        <v>0.0</v>
      </c>
      <c r="K7" s="7">
        <v>2.0</v>
      </c>
      <c r="L7" s="7" t="s">
        <v>63</v>
      </c>
      <c r="M7" s="7" t="s">
        <v>61</v>
      </c>
      <c r="N7" s="8"/>
      <c r="O7" s="8"/>
      <c r="P7" s="8"/>
      <c r="Q7" s="8"/>
      <c r="R7" s="8"/>
      <c r="S7" s="8"/>
      <c r="T7" s="8"/>
      <c r="U7" s="8"/>
      <c r="V7" s="8"/>
      <c r="W7" s="8"/>
      <c r="X7" s="9"/>
      <c r="Y7" s="10">
        <f t="shared" si="1"/>
        <v>5</v>
      </c>
      <c r="Z7" s="10">
        <f t="shared" si="2"/>
        <v>5</v>
      </c>
    </row>
    <row r="8">
      <c r="A8" s="7" t="s">
        <v>64</v>
      </c>
      <c r="B8" s="7" t="s">
        <v>27</v>
      </c>
      <c r="C8" s="7" t="s">
        <v>28</v>
      </c>
      <c r="D8" s="7" t="s">
        <v>65</v>
      </c>
      <c r="E8" s="7" t="s">
        <v>66</v>
      </c>
      <c r="F8" s="7">
        <v>0.5560722351074219</v>
      </c>
      <c r="G8" s="7" t="s">
        <v>31</v>
      </c>
      <c r="H8" s="7" t="s">
        <v>67</v>
      </c>
      <c r="I8" s="7">
        <v>0.0</v>
      </c>
      <c r="J8" s="7">
        <v>0.0</v>
      </c>
      <c r="K8" s="7">
        <v>1.0</v>
      </c>
      <c r="L8" s="7" t="s">
        <v>68</v>
      </c>
      <c r="M8" s="7" t="s">
        <v>69</v>
      </c>
      <c r="N8" s="8"/>
      <c r="O8" s="11">
        <v>1.0</v>
      </c>
      <c r="P8" s="8"/>
      <c r="Q8" s="8"/>
      <c r="R8" s="8"/>
      <c r="S8" s="8"/>
      <c r="T8" s="8"/>
      <c r="U8" s="8"/>
      <c r="V8" s="8"/>
      <c r="W8" s="8"/>
      <c r="X8" s="12" t="s">
        <v>70</v>
      </c>
      <c r="Y8" s="10">
        <f t="shared" si="1"/>
        <v>4</v>
      </c>
      <c r="Z8" s="10">
        <f t="shared" si="2"/>
        <v>5</v>
      </c>
    </row>
    <row r="9">
      <c r="A9" s="7" t="s">
        <v>71</v>
      </c>
      <c r="B9" s="7" t="s">
        <v>27</v>
      </c>
      <c r="C9" s="7" t="s">
        <v>28</v>
      </c>
      <c r="D9" s="7" t="s">
        <v>72</v>
      </c>
      <c r="E9" s="7" t="s">
        <v>73</v>
      </c>
      <c r="F9" s="7">
        <v>0.5768241882324219</v>
      </c>
      <c r="G9" s="7" t="s">
        <v>31</v>
      </c>
      <c r="H9" s="7" t="s">
        <v>74</v>
      </c>
      <c r="I9" s="7">
        <v>0.0</v>
      </c>
      <c r="J9" s="7">
        <v>0.0</v>
      </c>
      <c r="K9" s="7">
        <v>1.0</v>
      </c>
      <c r="L9" s="7" t="s">
        <v>75</v>
      </c>
      <c r="M9" s="7" t="s">
        <v>73</v>
      </c>
      <c r="N9" s="8"/>
      <c r="O9" s="8"/>
      <c r="P9" s="8"/>
      <c r="Q9" s="8"/>
      <c r="R9" s="8"/>
      <c r="S9" s="8"/>
      <c r="T9" s="8"/>
      <c r="U9" s="8"/>
      <c r="V9" s="8"/>
      <c r="W9" s="8"/>
      <c r="X9" s="9"/>
      <c r="Y9" s="10">
        <f t="shared" si="1"/>
        <v>5</v>
      </c>
      <c r="Z9" s="10">
        <f t="shared" si="2"/>
        <v>5</v>
      </c>
    </row>
    <row r="10">
      <c r="A10" s="7" t="s">
        <v>76</v>
      </c>
      <c r="B10" s="7" t="s">
        <v>27</v>
      </c>
      <c r="C10" s="7" t="s">
        <v>28</v>
      </c>
      <c r="D10" s="7" t="s">
        <v>77</v>
      </c>
      <c r="E10" s="7" t="s">
        <v>78</v>
      </c>
      <c r="F10" s="7">
        <v>0.4841855466365814</v>
      </c>
      <c r="G10" s="7" t="s">
        <v>31</v>
      </c>
      <c r="H10" s="7" t="s">
        <v>79</v>
      </c>
      <c r="I10" s="7">
        <v>0.0</v>
      </c>
      <c r="J10" s="7">
        <v>0.0</v>
      </c>
      <c r="K10" s="7">
        <v>2.0</v>
      </c>
      <c r="L10" s="7" t="s">
        <v>80</v>
      </c>
      <c r="M10" s="7" t="s">
        <v>81</v>
      </c>
      <c r="N10" s="8"/>
      <c r="O10" s="8"/>
      <c r="P10" s="8"/>
      <c r="Q10" s="8"/>
      <c r="R10" s="8"/>
      <c r="S10" s="8"/>
      <c r="T10" s="8"/>
      <c r="U10" s="8"/>
      <c r="V10" s="8"/>
      <c r="W10" s="8"/>
      <c r="X10" s="9"/>
      <c r="Y10" s="10">
        <f t="shared" si="1"/>
        <v>5</v>
      </c>
      <c r="Z10" s="10">
        <f t="shared" si="2"/>
        <v>5</v>
      </c>
    </row>
    <row r="11">
      <c r="A11" s="7" t="s">
        <v>82</v>
      </c>
      <c r="B11" s="7" t="s">
        <v>27</v>
      </c>
      <c r="C11" s="7" t="s">
        <v>28</v>
      </c>
      <c r="D11" s="7" t="s">
        <v>83</v>
      </c>
      <c r="E11" s="7" t="s">
        <v>84</v>
      </c>
      <c r="F11" s="7">
        <v>0.6618945598602295</v>
      </c>
      <c r="G11" s="7" t="s">
        <v>85</v>
      </c>
      <c r="H11" s="7" t="s">
        <v>86</v>
      </c>
      <c r="I11" s="7">
        <v>0.0</v>
      </c>
      <c r="J11" s="7">
        <v>0.0</v>
      </c>
      <c r="K11" s="7">
        <v>0.0</v>
      </c>
      <c r="L11" s="7" t="s">
        <v>87</v>
      </c>
      <c r="M11" s="7" t="s">
        <v>88</v>
      </c>
      <c r="N11" s="8"/>
      <c r="O11" s="8"/>
      <c r="P11" s="8"/>
      <c r="Q11" s="8"/>
      <c r="R11" s="8"/>
      <c r="S11" s="8"/>
      <c r="T11" s="8"/>
      <c r="U11" s="8"/>
      <c r="V11" s="8"/>
      <c r="W11" s="8"/>
      <c r="X11" s="9"/>
      <c r="Y11" s="10">
        <f t="shared" si="1"/>
        <v>5</v>
      </c>
      <c r="Z11" s="10">
        <f t="shared" si="2"/>
        <v>5</v>
      </c>
    </row>
    <row r="12">
      <c r="A12" s="7" t="s">
        <v>89</v>
      </c>
      <c r="B12" s="7" t="s">
        <v>27</v>
      </c>
      <c r="C12" s="7" t="s">
        <v>28</v>
      </c>
      <c r="D12" s="7" t="s">
        <v>90</v>
      </c>
      <c r="E12" s="7" t="s">
        <v>91</v>
      </c>
      <c r="F12" s="7">
        <v>0.430419921875</v>
      </c>
      <c r="G12" s="7" t="s">
        <v>31</v>
      </c>
      <c r="H12" s="7" t="s">
        <v>92</v>
      </c>
      <c r="I12" s="7">
        <v>0.0</v>
      </c>
      <c r="J12" s="7">
        <v>0.0</v>
      </c>
      <c r="K12" s="7">
        <v>3.0</v>
      </c>
      <c r="L12" s="7" t="s">
        <v>93</v>
      </c>
      <c r="M12" s="7" t="s">
        <v>94</v>
      </c>
      <c r="N12" s="8"/>
      <c r="O12" s="11">
        <v>1.0</v>
      </c>
      <c r="P12" s="8"/>
      <c r="Q12" s="8"/>
      <c r="R12" s="8"/>
      <c r="S12" s="8"/>
      <c r="T12" s="8"/>
      <c r="U12" s="8"/>
      <c r="V12" s="8"/>
      <c r="W12" s="8"/>
      <c r="X12" s="12" t="s">
        <v>91</v>
      </c>
      <c r="Y12" s="10">
        <f t="shared" si="1"/>
        <v>4</v>
      </c>
      <c r="Z12" s="10">
        <f t="shared" si="2"/>
        <v>5</v>
      </c>
    </row>
    <row r="13">
      <c r="A13" s="7" t="s">
        <v>95</v>
      </c>
      <c r="B13" s="7" t="s">
        <v>27</v>
      </c>
      <c r="C13" s="7" t="s">
        <v>28</v>
      </c>
      <c r="D13" s="7" t="s">
        <v>96</v>
      </c>
      <c r="E13" s="7" t="s">
        <v>97</v>
      </c>
      <c r="F13" s="7">
        <v>0.3809140622615814</v>
      </c>
      <c r="G13" s="7" t="s">
        <v>98</v>
      </c>
      <c r="H13" s="7" t="s">
        <v>99</v>
      </c>
      <c r="I13" s="7">
        <v>0.0</v>
      </c>
      <c r="J13" s="7">
        <v>0.0</v>
      </c>
      <c r="K13" s="7">
        <v>2.0</v>
      </c>
      <c r="L13" s="7"/>
      <c r="M13" s="7" t="s">
        <v>100</v>
      </c>
      <c r="N13" s="8"/>
      <c r="O13" s="8"/>
      <c r="P13" s="8"/>
      <c r="Q13" s="8"/>
      <c r="R13" s="8"/>
      <c r="S13" s="8"/>
      <c r="T13" s="8"/>
      <c r="U13" s="8"/>
      <c r="V13" s="8"/>
      <c r="W13" s="8"/>
      <c r="X13" s="9"/>
      <c r="Y13" s="10">
        <f t="shared" si="1"/>
        <v>5</v>
      </c>
      <c r="Z13" s="10">
        <f t="shared" si="2"/>
        <v>5</v>
      </c>
    </row>
    <row r="14">
      <c r="A14" s="7" t="s">
        <v>101</v>
      </c>
      <c r="B14" s="7" t="s">
        <v>27</v>
      </c>
      <c r="C14" s="7" t="s">
        <v>28</v>
      </c>
      <c r="D14" s="7" t="s">
        <v>102</v>
      </c>
      <c r="E14" s="7" t="s">
        <v>103</v>
      </c>
      <c r="F14" s="7">
        <v>0.4619578123092651</v>
      </c>
      <c r="G14" s="7" t="s">
        <v>31</v>
      </c>
      <c r="H14" s="7" t="s">
        <v>104</v>
      </c>
      <c r="I14" s="7">
        <v>1.0</v>
      </c>
      <c r="J14" s="7">
        <v>0.0</v>
      </c>
      <c r="K14" s="7">
        <v>2.0</v>
      </c>
      <c r="L14" s="7" t="s">
        <v>105</v>
      </c>
      <c r="M14" s="7" t="s">
        <v>106</v>
      </c>
      <c r="N14" s="8"/>
      <c r="O14" s="8"/>
      <c r="P14" s="8"/>
      <c r="Q14" s="8"/>
      <c r="R14" s="8"/>
      <c r="S14" s="8"/>
      <c r="T14" s="11">
        <v>1.0</v>
      </c>
      <c r="U14" s="8"/>
      <c r="V14" s="8"/>
      <c r="W14" s="8"/>
      <c r="X14" s="13" t="s">
        <v>107</v>
      </c>
      <c r="Y14" s="10">
        <f t="shared" si="1"/>
        <v>5</v>
      </c>
      <c r="Z14" s="10">
        <f t="shared" si="2"/>
        <v>4</v>
      </c>
    </row>
    <row r="15">
      <c r="A15" s="7" t="s">
        <v>108</v>
      </c>
      <c r="B15" s="7" t="s">
        <v>27</v>
      </c>
      <c r="C15" s="7" t="s">
        <v>28</v>
      </c>
      <c r="D15" s="7" t="s">
        <v>109</v>
      </c>
      <c r="E15" s="7" t="s">
        <v>110</v>
      </c>
      <c r="F15" s="7">
        <v>0.5709648132324219</v>
      </c>
      <c r="G15" s="7" t="s">
        <v>31</v>
      </c>
      <c r="H15" s="7" t="s">
        <v>111</v>
      </c>
      <c r="I15" s="7">
        <v>0.0</v>
      </c>
      <c r="J15" s="7">
        <v>0.0</v>
      </c>
      <c r="K15" s="7">
        <v>1.0</v>
      </c>
      <c r="L15" s="7" t="s">
        <v>112</v>
      </c>
      <c r="M15" s="7" t="s">
        <v>113</v>
      </c>
      <c r="N15" s="8"/>
      <c r="O15" s="8"/>
      <c r="P15" s="8"/>
      <c r="Q15" s="8"/>
      <c r="R15" s="8"/>
      <c r="S15" s="8"/>
      <c r="T15" s="8"/>
      <c r="U15" s="8"/>
      <c r="V15" s="8"/>
      <c r="W15" s="8"/>
      <c r="X15" s="9"/>
      <c r="Y15" s="10">
        <f t="shared" si="1"/>
        <v>5</v>
      </c>
      <c r="Z15" s="10">
        <f t="shared" si="2"/>
        <v>5</v>
      </c>
    </row>
    <row r="16">
      <c r="A16" s="7" t="s">
        <v>114</v>
      </c>
      <c r="B16" s="7" t="s">
        <v>27</v>
      </c>
      <c r="C16" s="7" t="s">
        <v>28</v>
      </c>
      <c r="D16" s="7" t="s">
        <v>115</v>
      </c>
      <c r="E16" s="7" t="s">
        <v>116</v>
      </c>
      <c r="F16" s="7">
        <v>0.588043749332428</v>
      </c>
      <c r="G16" s="7" t="s">
        <v>31</v>
      </c>
      <c r="H16" s="7" t="s">
        <v>117</v>
      </c>
      <c r="I16" s="7">
        <v>1.0</v>
      </c>
      <c r="J16" s="7">
        <v>0.0</v>
      </c>
      <c r="K16" s="7">
        <v>1.0</v>
      </c>
      <c r="L16" s="7" t="s">
        <v>118</v>
      </c>
      <c r="M16" s="7" t="s">
        <v>119</v>
      </c>
      <c r="N16" s="8"/>
      <c r="O16" s="8"/>
      <c r="P16" s="8"/>
      <c r="Q16" s="8"/>
      <c r="R16" s="8"/>
      <c r="S16" s="8"/>
      <c r="T16" s="11"/>
      <c r="U16" s="8"/>
      <c r="V16" s="8"/>
      <c r="W16" s="8"/>
      <c r="X16" s="9"/>
      <c r="Y16" s="10">
        <f t="shared" si="1"/>
        <v>5</v>
      </c>
      <c r="Z16" s="10">
        <f t="shared" si="2"/>
        <v>5</v>
      </c>
    </row>
    <row r="17">
      <c r="A17" s="7" t="s">
        <v>120</v>
      </c>
      <c r="B17" s="7" t="s">
        <v>27</v>
      </c>
      <c r="C17" s="7" t="s">
        <v>28</v>
      </c>
      <c r="D17" s="7" t="s">
        <v>121</v>
      </c>
      <c r="E17" s="7" t="s">
        <v>122</v>
      </c>
      <c r="F17" s="7">
        <v>0.5582476258277893</v>
      </c>
      <c r="G17" s="7" t="s">
        <v>31</v>
      </c>
      <c r="H17" s="7" t="s">
        <v>123</v>
      </c>
      <c r="I17" s="7">
        <v>2.0</v>
      </c>
      <c r="J17" s="7">
        <v>0.0</v>
      </c>
      <c r="K17" s="7">
        <v>1.0</v>
      </c>
      <c r="L17" s="7" t="s">
        <v>124</v>
      </c>
      <c r="M17" s="7" t="s">
        <v>125</v>
      </c>
      <c r="N17" s="8"/>
      <c r="O17" s="8"/>
      <c r="P17" s="8"/>
      <c r="Q17" s="8"/>
      <c r="R17" s="8"/>
      <c r="S17" s="8"/>
      <c r="T17" s="8"/>
      <c r="U17" s="8"/>
      <c r="V17" s="8"/>
      <c r="W17" s="8"/>
      <c r="X17" s="9"/>
      <c r="Y17" s="10">
        <f t="shared" si="1"/>
        <v>5</v>
      </c>
      <c r="Z17" s="10">
        <f t="shared" si="2"/>
        <v>5</v>
      </c>
    </row>
    <row r="18">
      <c r="A18" s="7" t="s">
        <v>126</v>
      </c>
      <c r="B18" s="7" t="s">
        <v>27</v>
      </c>
      <c r="C18" s="7" t="s">
        <v>28</v>
      </c>
      <c r="D18" s="7" t="s">
        <v>127</v>
      </c>
      <c r="E18" s="7" t="s">
        <v>128</v>
      </c>
      <c r="F18" s="7">
        <v>0.4917539060115814</v>
      </c>
      <c r="G18" s="7" t="s">
        <v>31</v>
      </c>
      <c r="H18" s="7" t="s">
        <v>129</v>
      </c>
      <c r="I18" s="7">
        <v>0.0</v>
      </c>
      <c r="J18" s="7">
        <v>0.0</v>
      </c>
      <c r="K18" s="7">
        <v>2.0</v>
      </c>
      <c r="L18" s="7"/>
      <c r="M18" s="7" t="s">
        <v>130</v>
      </c>
      <c r="N18" s="8"/>
      <c r="O18" s="8"/>
      <c r="P18" s="8"/>
      <c r="Q18" s="8"/>
      <c r="R18" s="8"/>
      <c r="S18" s="8"/>
      <c r="T18" s="8"/>
      <c r="U18" s="8"/>
      <c r="V18" s="8"/>
      <c r="W18" s="8"/>
      <c r="X18" s="9"/>
      <c r="Y18" s="10">
        <f t="shared" si="1"/>
        <v>5</v>
      </c>
      <c r="Z18" s="10">
        <f t="shared" si="2"/>
        <v>5</v>
      </c>
    </row>
    <row r="19">
      <c r="A19" s="7" t="s">
        <v>131</v>
      </c>
      <c r="B19" s="7" t="s">
        <v>27</v>
      </c>
      <c r="C19" s="7" t="s">
        <v>28</v>
      </c>
      <c r="D19" s="7" t="s">
        <v>132</v>
      </c>
      <c r="E19" s="7" t="s">
        <v>133</v>
      </c>
      <c r="F19" s="7">
        <v>0.432861328125</v>
      </c>
      <c r="G19" s="7" t="s">
        <v>31</v>
      </c>
      <c r="H19" s="7" t="s">
        <v>134</v>
      </c>
      <c r="I19" s="7">
        <v>0.0</v>
      </c>
      <c r="J19" s="7">
        <v>0.0</v>
      </c>
      <c r="K19" s="7">
        <v>3.0</v>
      </c>
      <c r="L19" s="7" t="s">
        <v>135</v>
      </c>
      <c r="M19" s="7" t="s">
        <v>136</v>
      </c>
      <c r="N19" s="8"/>
      <c r="O19" s="8"/>
      <c r="P19" s="8"/>
      <c r="Q19" s="8"/>
      <c r="R19" s="8"/>
      <c r="S19" s="8"/>
      <c r="T19" s="8"/>
      <c r="U19" s="8"/>
      <c r="V19" s="8"/>
      <c r="W19" s="8"/>
      <c r="X19" s="9"/>
      <c r="Y19" s="10">
        <f t="shared" si="1"/>
        <v>5</v>
      </c>
      <c r="Z19" s="10">
        <f t="shared" si="2"/>
        <v>5</v>
      </c>
    </row>
    <row r="20">
      <c r="A20" s="7" t="s">
        <v>137</v>
      </c>
      <c r="B20" s="7" t="s">
        <v>27</v>
      </c>
      <c r="C20" s="7" t="s">
        <v>28</v>
      </c>
      <c r="D20" s="7" t="s">
        <v>138</v>
      </c>
      <c r="E20" s="7" t="s">
        <v>139</v>
      </c>
      <c r="F20" s="7">
        <v>0.5440874695777893</v>
      </c>
      <c r="G20" s="7" t="s">
        <v>31</v>
      </c>
      <c r="H20" s="7" t="s">
        <v>140</v>
      </c>
      <c r="I20" s="7">
        <v>2.0</v>
      </c>
      <c r="J20" s="7">
        <v>0.0</v>
      </c>
      <c r="K20" s="7">
        <v>1.0</v>
      </c>
      <c r="L20" s="7" t="s">
        <v>141</v>
      </c>
      <c r="M20" s="7" t="s">
        <v>142</v>
      </c>
      <c r="N20" s="8"/>
      <c r="O20" s="8"/>
      <c r="P20" s="8"/>
      <c r="Q20" s="8"/>
      <c r="R20" s="8"/>
      <c r="S20" s="8"/>
      <c r="T20" s="8"/>
      <c r="U20" s="8"/>
      <c r="V20" s="8"/>
      <c r="W20" s="8"/>
      <c r="X20" s="9"/>
      <c r="Y20" s="10">
        <f t="shared" si="1"/>
        <v>5</v>
      </c>
      <c r="Z20" s="10">
        <f t="shared" si="2"/>
        <v>5</v>
      </c>
    </row>
    <row r="21" ht="15.75" customHeight="1">
      <c r="A21" s="7" t="s">
        <v>143</v>
      </c>
      <c r="B21" s="7" t="s">
        <v>27</v>
      </c>
      <c r="C21" s="7" t="s">
        <v>28</v>
      </c>
      <c r="D21" s="7" t="s">
        <v>144</v>
      </c>
      <c r="E21" s="7" t="s">
        <v>145</v>
      </c>
      <c r="F21" s="7">
        <v>0.5731620788574219</v>
      </c>
      <c r="G21" s="7" t="s">
        <v>31</v>
      </c>
      <c r="H21" s="7" t="s">
        <v>146</v>
      </c>
      <c r="I21" s="7">
        <v>0.0</v>
      </c>
      <c r="J21" s="7">
        <v>0.0</v>
      </c>
      <c r="K21" s="7">
        <v>1.0</v>
      </c>
      <c r="L21" s="7" t="s">
        <v>147</v>
      </c>
      <c r="M21" s="7" t="s">
        <v>145</v>
      </c>
      <c r="N21" s="8"/>
      <c r="O21" s="8"/>
      <c r="P21" s="8"/>
      <c r="Q21" s="8"/>
      <c r="R21" s="8"/>
      <c r="S21" s="8"/>
      <c r="T21" s="8"/>
      <c r="U21" s="8"/>
      <c r="V21" s="8"/>
      <c r="W21" s="8"/>
      <c r="X21" s="9"/>
      <c r="Y21" s="10">
        <f t="shared" si="1"/>
        <v>5</v>
      </c>
      <c r="Z21" s="10">
        <f t="shared" si="2"/>
        <v>5</v>
      </c>
    </row>
    <row r="22" ht="15.75" customHeight="1">
      <c r="A22" s="7" t="s">
        <v>148</v>
      </c>
      <c r="B22" s="7" t="s">
        <v>27</v>
      </c>
      <c r="C22" s="7" t="s">
        <v>28</v>
      </c>
      <c r="D22" s="7" t="s">
        <v>149</v>
      </c>
      <c r="E22" s="7" t="s">
        <v>150</v>
      </c>
      <c r="F22" s="7">
        <v>0.4922421872615814</v>
      </c>
      <c r="G22" s="7" t="s">
        <v>31</v>
      </c>
      <c r="H22" s="7" t="s">
        <v>151</v>
      </c>
      <c r="I22" s="7">
        <v>0.0</v>
      </c>
      <c r="J22" s="7">
        <v>0.0</v>
      </c>
      <c r="K22" s="7">
        <v>2.0</v>
      </c>
      <c r="L22" s="7" t="s">
        <v>152</v>
      </c>
      <c r="M22" s="7" t="s">
        <v>150</v>
      </c>
      <c r="N22" s="8"/>
      <c r="O22" s="8"/>
      <c r="P22" s="8"/>
      <c r="Q22" s="8"/>
      <c r="R22" s="8"/>
      <c r="S22" s="8"/>
      <c r="T22" s="8"/>
      <c r="U22" s="8"/>
      <c r="V22" s="8"/>
      <c r="W22" s="8"/>
      <c r="X22" s="9"/>
      <c r="Y22" s="10">
        <f t="shared" si="1"/>
        <v>5</v>
      </c>
      <c r="Z22" s="10">
        <f t="shared" si="2"/>
        <v>5</v>
      </c>
    </row>
    <row r="23" ht="15.75" customHeight="1">
      <c r="A23" s="7" t="s">
        <v>153</v>
      </c>
      <c r="B23" s="7" t="s">
        <v>27</v>
      </c>
      <c r="C23" s="7" t="s">
        <v>28</v>
      </c>
      <c r="D23" s="7" t="s">
        <v>154</v>
      </c>
      <c r="E23" s="7" t="s">
        <v>155</v>
      </c>
      <c r="F23" s="7">
        <v>0.574860155582428</v>
      </c>
      <c r="G23" s="7" t="s">
        <v>31</v>
      </c>
      <c r="H23" s="7" t="s">
        <v>156</v>
      </c>
      <c r="I23" s="7">
        <v>1.0</v>
      </c>
      <c r="J23" s="7">
        <v>0.0</v>
      </c>
      <c r="K23" s="7">
        <v>1.0</v>
      </c>
      <c r="L23" s="7" t="s">
        <v>157</v>
      </c>
      <c r="M23" s="7" t="s">
        <v>155</v>
      </c>
      <c r="N23" s="8"/>
      <c r="O23" s="8"/>
      <c r="P23" s="8"/>
      <c r="Q23" s="8"/>
      <c r="R23" s="8"/>
      <c r="S23" s="8"/>
      <c r="T23" s="8"/>
      <c r="U23" s="8"/>
      <c r="V23" s="8"/>
      <c r="W23" s="8"/>
      <c r="X23" s="9"/>
      <c r="Y23" s="10">
        <f t="shared" si="1"/>
        <v>5</v>
      </c>
      <c r="Z23" s="10">
        <f t="shared" si="2"/>
        <v>5</v>
      </c>
    </row>
    <row r="24" ht="15.75" customHeight="1">
      <c r="A24" s="7" t="s">
        <v>158</v>
      </c>
      <c r="B24" s="7" t="s">
        <v>27</v>
      </c>
      <c r="C24" s="7" t="s">
        <v>28</v>
      </c>
      <c r="D24" s="7" t="s">
        <v>159</v>
      </c>
      <c r="E24" s="7" t="s">
        <v>160</v>
      </c>
      <c r="F24" s="7">
        <v>0.434814453125</v>
      </c>
      <c r="G24" s="7" t="s">
        <v>31</v>
      </c>
      <c r="H24" s="7" t="s">
        <v>161</v>
      </c>
      <c r="I24" s="7">
        <v>0.0</v>
      </c>
      <c r="J24" s="7">
        <v>0.0</v>
      </c>
      <c r="K24" s="7">
        <v>3.0</v>
      </c>
      <c r="L24" s="7" t="s">
        <v>162</v>
      </c>
      <c r="M24" s="7" t="s">
        <v>163</v>
      </c>
      <c r="N24" s="8"/>
      <c r="O24" s="8"/>
      <c r="P24" s="8"/>
      <c r="Q24" s="8"/>
      <c r="R24" s="8"/>
      <c r="S24" s="8"/>
      <c r="T24" s="8"/>
      <c r="U24" s="8"/>
      <c r="V24" s="8"/>
      <c r="W24" s="8"/>
      <c r="X24" s="9"/>
      <c r="Y24" s="10">
        <f t="shared" si="1"/>
        <v>5</v>
      </c>
      <c r="Z24" s="10">
        <f t="shared" si="2"/>
        <v>5</v>
      </c>
    </row>
    <row r="25" ht="15.75" customHeight="1">
      <c r="A25" s="7" t="s">
        <v>164</v>
      </c>
      <c r="B25" s="7" t="s">
        <v>27</v>
      </c>
      <c r="C25" s="7" t="s">
        <v>28</v>
      </c>
      <c r="D25" s="7" t="s">
        <v>165</v>
      </c>
      <c r="E25" s="7" t="s">
        <v>166</v>
      </c>
      <c r="F25" s="7">
        <v>0.5416679382324219</v>
      </c>
      <c r="G25" s="7" t="s">
        <v>31</v>
      </c>
      <c r="H25" s="7" t="s">
        <v>167</v>
      </c>
      <c r="I25" s="7">
        <v>0.0</v>
      </c>
      <c r="J25" s="7">
        <v>0.0</v>
      </c>
      <c r="K25" s="7">
        <v>1.0</v>
      </c>
      <c r="L25" s="7" t="s">
        <v>168</v>
      </c>
      <c r="M25" s="7" t="s">
        <v>169</v>
      </c>
      <c r="N25" s="8"/>
      <c r="O25" s="11">
        <v>1.0</v>
      </c>
      <c r="P25" s="8"/>
      <c r="Q25" s="8"/>
      <c r="R25" s="8"/>
      <c r="S25" s="8"/>
      <c r="T25" s="8"/>
      <c r="U25" s="8"/>
      <c r="V25" s="8"/>
      <c r="W25" s="8"/>
      <c r="X25" s="12" t="s">
        <v>170</v>
      </c>
      <c r="Y25" s="10">
        <f t="shared" si="1"/>
        <v>4</v>
      </c>
      <c r="Z25" s="10">
        <f t="shared" si="2"/>
        <v>5</v>
      </c>
    </row>
    <row r="26" ht="15.75" customHeight="1">
      <c r="A26" s="7" t="s">
        <v>171</v>
      </c>
      <c r="B26" s="7" t="s">
        <v>27</v>
      </c>
      <c r="C26" s="7" t="s">
        <v>28</v>
      </c>
      <c r="D26" s="7" t="s">
        <v>172</v>
      </c>
      <c r="E26" s="7" t="s">
        <v>173</v>
      </c>
      <c r="F26" s="7">
        <v>0.4326171875</v>
      </c>
      <c r="G26" s="7" t="s">
        <v>31</v>
      </c>
      <c r="H26" s="7" t="s">
        <v>174</v>
      </c>
      <c r="I26" s="7">
        <v>0.0</v>
      </c>
      <c r="J26" s="7">
        <v>0.0</v>
      </c>
      <c r="K26" s="7">
        <v>3.0</v>
      </c>
      <c r="L26" s="7" t="s">
        <v>175</v>
      </c>
      <c r="M26" s="7" t="s">
        <v>176</v>
      </c>
      <c r="N26" s="8"/>
      <c r="O26" s="8"/>
      <c r="P26" s="8"/>
      <c r="Q26" s="8"/>
      <c r="R26" s="8"/>
      <c r="S26" s="8"/>
      <c r="T26" s="8"/>
      <c r="U26" s="8"/>
      <c r="V26" s="8"/>
      <c r="W26" s="8"/>
      <c r="X26" s="9"/>
      <c r="Y26" s="10">
        <f t="shared" si="1"/>
        <v>5</v>
      </c>
      <c r="Z26" s="10">
        <f t="shared" si="2"/>
        <v>5</v>
      </c>
    </row>
    <row r="27" ht="15.75" customHeight="1">
      <c r="A27" s="7" t="s">
        <v>177</v>
      </c>
      <c r="B27" s="7" t="s">
        <v>27</v>
      </c>
      <c r="C27" s="7" t="s">
        <v>28</v>
      </c>
      <c r="D27" s="7" t="s">
        <v>178</v>
      </c>
      <c r="E27" s="7" t="s">
        <v>179</v>
      </c>
      <c r="F27" s="7">
        <v>0.4375</v>
      </c>
      <c r="G27" s="7" t="s">
        <v>31</v>
      </c>
      <c r="H27" s="7" t="s">
        <v>180</v>
      </c>
      <c r="I27" s="7">
        <v>0.0</v>
      </c>
      <c r="J27" s="7">
        <v>0.0</v>
      </c>
      <c r="K27" s="7">
        <v>5.0</v>
      </c>
      <c r="L27" s="7" t="s">
        <v>181</v>
      </c>
      <c r="M27" s="13" t="s">
        <v>182</v>
      </c>
      <c r="N27" s="11">
        <v>1.0</v>
      </c>
      <c r="O27" s="8"/>
      <c r="P27" s="8"/>
      <c r="Q27" s="8"/>
      <c r="R27" s="8"/>
      <c r="S27" s="8"/>
      <c r="T27" s="8"/>
      <c r="U27" s="8"/>
      <c r="V27" s="8"/>
      <c r="W27" s="8"/>
      <c r="X27" s="9"/>
      <c r="Y27" s="10">
        <f t="shared" si="1"/>
        <v>4</v>
      </c>
      <c r="Z27" s="10">
        <f t="shared" si="2"/>
        <v>5</v>
      </c>
    </row>
    <row r="28" ht="15.75" customHeight="1">
      <c r="A28" s="7" t="s">
        <v>183</v>
      </c>
      <c r="B28" s="7" t="s">
        <v>27</v>
      </c>
      <c r="C28" s="7" t="s">
        <v>28</v>
      </c>
      <c r="D28" s="7" t="s">
        <v>184</v>
      </c>
      <c r="E28" s="7" t="s">
        <v>185</v>
      </c>
      <c r="F28" s="7">
        <v>0.4741757810115814</v>
      </c>
      <c r="G28" s="7" t="s">
        <v>31</v>
      </c>
      <c r="H28" s="7" t="s">
        <v>186</v>
      </c>
      <c r="I28" s="7">
        <v>0.0</v>
      </c>
      <c r="J28" s="7">
        <v>0.0</v>
      </c>
      <c r="K28" s="7">
        <v>2.0</v>
      </c>
      <c r="L28" s="7" t="s">
        <v>187</v>
      </c>
      <c r="M28" s="7" t="s">
        <v>185</v>
      </c>
      <c r="N28" s="8"/>
      <c r="O28" s="8"/>
      <c r="P28" s="8"/>
      <c r="Q28" s="8"/>
      <c r="R28" s="8"/>
      <c r="S28" s="8"/>
      <c r="T28" s="8"/>
      <c r="U28" s="8"/>
      <c r="V28" s="8"/>
      <c r="W28" s="8"/>
      <c r="X28" s="9"/>
      <c r="Y28" s="10">
        <f t="shared" si="1"/>
        <v>5</v>
      </c>
      <c r="Z28" s="10">
        <f t="shared" si="2"/>
        <v>5</v>
      </c>
    </row>
    <row r="29" ht="15.75" customHeight="1">
      <c r="A29" s="7" t="s">
        <v>188</v>
      </c>
      <c r="B29" s="7" t="s">
        <v>27</v>
      </c>
      <c r="C29" s="7" t="s">
        <v>28</v>
      </c>
      <c r="D29" s="7" t="s">
        <v>189</v>
      </c>
      <c r="E29" s="7" t="s">
        <v>190</v>
      </c>
      <c r="F29" s="7">
        <v>0.5685234069824219</v>
      </c>
      <c r="G29" s="7" t="s">
        <v>31</v>
      </c>
      <c r="H29" s="7" t="s">
        <v>191</v>
      </c>
      <c r="I29" s="7">
        <v>0.0</v>
      </c>
      <c r="J29" s="7">
        <v>0.0</v>
      </c>
      <c r="K29" s="7">
        <v>1.0</v>
      </c>
      <c r="L29" s="7" t="s">
        <v>192</v>
      </c>
      <c r="M29" s="7" t="s">
        <v>193</v>
      </c>
      <c r="N29" s="8"/>
      <c r="O29" s="8"/>
      <c r="P29" s="8"/>
      <c r="Q29" s="8"/>
      <c r="R29" s="8"/>
      <c r="S29" s="8"/>
      <c r="T29" s="8"/>
      <c r="U29" s="8"/>
      <c r="V29" s="8"/>
      <c r="W29" s="8"/>
      <c r="X29" s="9"/>
      <c r="Y29" s="10">
        <f t="shared" si="1"/>
        <v>5</v>
      </c>
      <c r="Z29" s="10">
        <f t="shared" si="2"/>
        <v>5</v>
      </c>
    </row>
    <row r="30" ht="15.75" customHeight="1">
      <c r="A30" s="7" t="s">
        <v>194</v>
      </c>
      <c r="B30" s="7" t="s">
        <v>27</v>
      </c>
      <c r="C30" s="7" t="s">
        <v>28</v>
      </c>
      <c r="D30" s="7" t="s">
        <v>195</v>
      </c>
      <c r="E30" s="7" t="s">
        <v>196</v>
      </c>
      <c r="F30" s="7">
        <v>0.4683164060115814</v>
      </c>
      <c r="G30" s="7" t="s">
        <v>31</v>
      </c>
      <c r="H30" s="7" t="s">
        <v>197</v>
      </c>
      <c r="I30" s="7">
        <v>0.0</v>
      </c>
      <c r="J30" s="7">
        <v>0.0</v>
      </c>
      <c r="K30" s="7">
        <v>2.0</v>
      </c>
      <c r="L30" s="7" t="s">
        <v>198</v>
      </c>
      <c r="M30" s="7" t="s">
        <v>199</v>
      </c>
      <c r="N30" s="8"/>
      <c r="O30" s="11">
        <v>1.0</v>
      </c>
      <c r="P30" s="8"/>
      <c r="Q30" s="8"/>
      <c r="R30" s="8"/>
      <c r="S30" s="8"/>
      <c r="T30" s="8"/>
      <c r="U30" s="8"/>
      <c r="V30" s="8"/>
      <c r="W30" s="8"/>
      <c r="X30" s="13" t="s">
        <v>200</v>
      </c>
      <c r="Y30" s="10">
        <f t="shared" si="1"/>
        <v>4</v>
      </c>
      <c r="Z30" s="10">
        <f t="shared" si="2"/>
        <v>5</v>
      </c>
    </row>
    <row r="31" ht="15.75" customHeight="1">
      <c r="A31" s="7" t="s">
        <v>201</v>
      </c>
      <c r="B31" s="7" t="s">
        <v>27</v>
      </c>
      <c r="C31" s="7" t="s">
        <v>28</v>
      </c>
      <c r="D31" s="7" t="s">
        <v>202</v>
      </c>
      <c r="E31" s="7" t="s">
        <v>203</v>
      </c>
      <c r="F31" s="7">
        <v>0.5802421569824219</v>
      </c>
      <c r="G31" s="7" t="s">
        <v>31</v>
      </c>
      <c r="H31" s="7" t="s">
        <v>204</v>
      </c>
      <c r="I31" s="7">
        <v>0.0</v>
      </c>
      <c r="J31" s="7">
        <v>0.0</v>
      </c>
      <c r="K31" s="7">
        <v>1.0</v>
      </c>
      <c r="L31" s="7" t="s">
        <v>205</v>
      </c>
      <c r="M31" s="7" t="s">
        <v>206</v>
      </c>
      <c r="N31" s="8"/>
      <c r="O31" s="11">
        <v>1.0</v>
      </c>
      <c r="P31" s="8"/>
      <c r="Q31" s="8"/>
      <c r="R31" s="8"/>
      <c r="S31" s="8"/>
      <c r="T31" s="8"/>
      <c r="U31" s="8"/>
      <c r="V31" s="8"/>
      <c r="W31" s="8"/>
      <c r="X31" s="12" t="s">
        <v>207</v>
      </c>
      <c r="Y31" s="10">
        <f t="shared" si="1"/>
        <v>4</v>
      </c>
      <c r="Z31" s="10">
        <f t="shared" si="2"/>
        <v>5</v>
      </c>
    </row>
    <row r="32" ht="15.75" customHeight="1">
      <c r="A32" s="7" t="s">
        <v>208</v>
      </c>
      <c r="B32" s="7" t="s">
        <v>27</v>
      </c>
      <c r="C32" s="7" t="s">
        <v>28</v>
      </c>
      <c r="D32" s="7" t="s">
        <v>209</v>
      </c>
      <c r="E32" s="7" t="s">
        <v>210</v>
      </c>
      <c r="F32" s="7">
        <v>0.442138671875</v>
      </c>
      <c r="G32" s="7" t="s">
        <v>31</v>
      </c>
      <c r="H32" s="7" t="s">
        <v>211</v>
      </c>
      <c r="I32" s="7">
        <v>0.0</v>
      </c>
      <c r="J32" s="7">
        <v>0.0</v>
      </c>
      <c r="K32" s="7">
        <v>3.0</v>
      </c>
      <c r="L32" s="7" t="s">
        <v>212</v>
      </c>
      <c r="M32" s="7" t="s">
        <v>210</v>
      </c>
      <c r="N32" s="8"/>
      <c r="O32" s="8"/>
      <c r="P32" s="8"/>
      <c r="Q32" s="8"/>
      <c r="R32" s="8"/>
      <c r="S32" s="8"/>
      <c r="T32" s="8"/>
      <c r="U32" s="8"/>
      <c r="V32" s="8"/>
      <c r="W32" s="8"/>
      <c r="X32" s="9"/>
      <c r="Y32" s="10">
        <f t="shared" si="1"/>
        <v>5</v>
      </c>
      <c r="Z32" s="10">
        <f t="shared" si="2"/>
        <v>5</v>
      </c>
    </row>
    <row r="33" ht="15.75" customHeight="1">
      <c r="A33" s="7" t="s">
        <v>213</v>
      </c>
      <c r="B33" s="7" t="s">
        <v>27</v>
      </c>
      <c r="C33" s="7" t="s">
        <v>28</v>
      </c>
      <c r="D33" s="7" t="s">
        <v>214</v>
      </c>
      <c r="E33" s="7" t="s">
        <v>215</v>
      </c>
      <c r="F33" s="7">
        <v>0.4448789060115814</v>
      </c>
      <c r="G33" s="7" t="s">
        <v>31</v>
      </c>
      <c r="H33" s="7" t="s">
        <v>216</v>
      </c>
      <c r="I33" s="7">
        <v>0.0</v>
      </c>
      <c r="J33" s="7">
        <v>0.0</v>
      </c>
      <c r="K33" s="7">
        <v>2.0</v>
      </c>
      <c r="L33" s="7" t="s">
        <v>217</v>
      </c>
      <c r="M33" s="7" t="s">
        <v>218</v>
      </c>
      <c r="N33" s="8"/>
      <c r="O33" s="8"/>
      <c r="P33" s="8"/>
      <c r="Q33" s="8"/>
      <c r="R33" s="8"/>
      <c r="S33" s="8"/>
      <c r="T33" s="8"/>
      <c r="U33" s="8"/>
      <c r="V33" s="8"/>
      <c r="W33" s="8"/>
      <c r="X33" s="13" t="s">
        <v>219</v>
      </c>
      <c r="Y33" s="10">
        <f t="shared" si="1"/>
        <v>5</v>
      </c>
      <c r="Z33" s="10">
        <f t="shared" si="2"/>
        <v>5</v>
      </c>
    </row>
    <row r="34" ht="15.75" customHeight="1">
      <c r="A34" s="7" t="s">
        <v>220</v>
      </c>
      <c r="B34" s="7" t="s">
        <v>27</v>
      </c>
      <c r="C34" s="7" t="s">
        <v>28</v>
      </c>
      <c r="D34" s="7" t="s">
        <v>221</v>
      </c>
      <c r="E34" s="7" t="s">
        <v>222</v>
      </c>
      <c r="F34" s="7">
        <v>0.427734375</v>
      </c>
      <c r="G34" s="7" t="s">
        <v>31</v>
      </c>
      <c r="H34" s="7" t="s">
        <v>223</v>
      </c>
      <c r="I34" s="7">
        <v>0.0</v>
      </c>
      <c r="J34" s="7">
        <v>0.0</v>
      </c>
      <c r="K34" s="7">
        <v>3.0</v>
      </c>
      <c r="L34" s="7" t="s">
        <v>224</v>
      </c>
      <c r="M34" s="7" t="s">
        <v>225</v>
      </c>
      <c r="N34" s="8"/>
      <c r="O34" s="11">
        <v>1.0</v>
      </c>
      <c r="P34" s="8"/>
      <c r="Q34" s="8"/>
      <c r="R34" s="8"/>
      <c r="S34" s="8"/>
      <c r="T34" s="8"/>
      <c r="U34" s="8"/>
      <c r="V34" s="8"/>
      <c r="W34" s="8"/>
      <c r="X34" s="13" t="s">
        <v>226</v>
      </c>
      <c r="Y34" s="10">
        <f t="shared" si="1"/>
        <v>4</v>
      </c>
      <c r="Z34" s="10">
        <f t="shared" si="2"/>
        <v>5</v>
      </c>
    </row>
    <row r="35" ht="15.75" customHeight="1">
      <c r="A35" s="7" t="s">
        <v>227</v>
      </c>
      <c r="B35" s="7" t="s">
        <v>27</v>
      </c>
      <c r="C35" s="7" t="s">
        <v>28</v>
      </c>
      <c r="D35" s="7" t="s">
        <v>228</v>
      </c>
      <c r="E35" s="7" t="s">
        <v>229</v>
      </c>
      <c r="F35" s="7">
        <v>0.43212890625</v>
      </c>
      <c r="G35" s="7" t="s">
        <v>31</v>
      </c>
      <c r="H35" s="7" t="s">
        <v>230</v>
      </c>
      <c r="I35" s="7">
        <v>0.0</v>
      </c>
      <c r="J35" s="7">
        <v>0.0</v>
      </c>
      <c r="K35" s="7">
        <v>3.0</v>
      </c>
      <c r="L35" s="7" t="s">
        <v>231</v>
      </c>
      <c r="M35" s="7" t="s">
        <v>232</v>
      </c>
      <c r="N35" s="8"/>
      <c r="O35" s="8"/>
      <c r="P35" s="8"/>
      <c r="Q35" s="8"/>
      <c r="R35" s="8"/>
      <c r="S35" s="8"/>
      <c r="T35" s="8"/>
      <c r="U35" s="8"/>
      <c r="V35" s="8"/>
      <c r="W35" s="8"/>
      <c r="X35" s="9"/>
      <c r="Y35" s="10">
        <f t="shared" si="1"/>
        <v>5</v>
      </c>
      <c r="Z35" s="10">
        <f t="shared" si="2"/>
        <v>5</v>
      </c>
    </row>
    <row r="36" ht="15.75" customHeight="1">
      <c r="A36" s="7" t="s">
        <v>233</v>
      </c>
      <c r="B36" s="7" t="s">
        <v>27</v>
      </c>
      <c r="C36" s="7" t="s">
        <v>28</v>
      </c>
      <c r="D36" s="7" t="s">
        <v>234</v>
      </c>
      <c r="E36" s="7" t="s">
        <v>235</v>
      </c>
      <c r="F36" s="7">
        <v>0.4714792966842651</v>
      </c>
      <c r="G36" s="7" t="s">
        <v>31</v>
      </c>
      <c r="H36" s="7" t="s">
        <v>236</v>
      </c>
      <c r="I36" s="7">
        <v>1.0</v>
      </c>
      <c r="J36" s="7">
        <v>0.0</v>
      </c>
      <c r="K36" s="7">
        <v>2.0</v>
      </c>
      <c r="L36" s="7" t="s">
        <v>237</v>
      </c>
      <c r="M36" s="7" t="s">
        <v>238</v>
      </c>
      <c r="N36" s="8"/>
      <c r="O36" s="8"/>
      <c r="P36" s="8"/>
      <c r="Q36" s="8"/>
      <c r="R36" s="8"/>
      <c r="S36" s="8"/>
      <c r="T36" s="8"/>
      <c r="U36" s="8"/>
      <c r="V36" s="8"/>
      <c r="W36" s="8"/>
      <c r="X36" s="9"/>
      <c r="Y36" s="10">
        <f t="shared" si="1"/>
        <v>5</v>
      </c>
      <c r="Z36" s="10">
        <f t="shared" si="2"/>
        <v>5</v>
      </c>
    </row>
    <row r="37" ht="15.75" customHeight="1">
      <c r="A37" s="7" t="s">
        <v>239</v>
      </c>
      <c r="B37" s="7" t="s">
        <v>27</v>
      </c>
      <c r="C37" s="7" t="s">
        <v>28</v>
      </c>
      <c r="D37" s="7" t="s">
        <v>240</v>
      </c>
      <c r="E37" s="7" t="s">
        <v>241</v>
      </c>
      <c r="F37" s="7">
        <v>0.563141405582428</v>
      </c>
      <c r="G37" s="7" t="s">
        <v>31</v>
      </c>
      <c r="H37" s="7" t="s">
        <v>242</v>
      </c>
      <c r="I37" s="7">
        <v>1.0</v>
      </c>
      <c r="J37" s="7">
        <v>0.0</v>
      </c>
      <c r="K37" s="7">
        <v>1.0</v>
      </c>
      <c r="L37" s="7" t="s">
        <v>243</v>
      </c>
      <c r="M37" s="7" t="s">
        <v>241</v>
      </c>
      <c r="N37" s="8"/>
      <c r="O37" s="8"/>
      <c r="P37" s="8"/>
      <c r="Q37" s="8"/>
      <c r="R37" s="8"/>
      <c r="S37" s="8"/>
      <c r="T37" s="8"/>
      <c r="U37" s="8"/>
      <c r="V37" s="8"/>
      <c r="W37" s="8"/>
      <c r="X37" s="9"/>
      <c r="Y37" s="10">
        <f t="shared" si="1"/>
        <v>5</v>
      </c>
      <c r="Z37" s="10">
        <f t="shared" si="2"/>
        <v>5</v>
      </c>
    </row>
    <row r="38" ht="15.75" customHeight="1">
      <c r="A38" s="7" t="s">
        <v>244</v>
      </c>
      <c r="B38" s="7" t="s">
        <v>27</v>
      </c>
      <c r="C38" s="7" t="s">
        <v>28</v>
      </c>
      <c r="D38" s="7" t="s">
        <v>245</v>
      </c>
      <c r="E38" s="7" t="s">
        <v>246</v>
      </c>
      <c r="F38" s="7">
        <v>0.5792655944824219</v>
      </c>
      <c r="G38" s="7" t="s">
        <v>31</v>
      </c>
      <c r="H38" s="7" t="s">
        <v>247</v>
      </c>
      <c r="I38" s="7">
        <v>0.0</v>
      </c>
      <c r="J38" s="7">
        <v>0.0</v>
      </c>
      <c r="K38" s="7">
        <v>1.0</v>
      </c>
      <c r="L38" s="7" t="s">
        <v>248</v>
      </c>
      <c r="M38" s="7" t="s">
        <v>249</v>
      </c>
      <c r="N38" s="8"/>
      <c r="O38" s="11">
        <v>1.0</v>
      </c>
      <c r="P38" s="8"/>
      <c r="Q38" s="8"/>
      <c r="R38" s="8"/>
      <c r="S38" s="8"/>
      <c r="T38" s="8"/>
      <c r="U38" s="8"/>
      <c r="V38" s="8"/>
      <c r="W38" s="8"/>
      <c r="X38" s="13" t="s">
        <v>250</v>
      </c>
      <c r="Y38" s="10">
        <f t="shared" si="1"/>
        <v>4</v>
      </c>
      <c r="Z38" s="10">
        <f t="shared" si="2"/>
        <v>5</v>
      </c>
    </row>
    <row r="39" ht="15.75" customHeight="1">
      <c r="A39" s="7" t="s">
        <v>251</v>
      </c>
      <c r="B39" s="7" t="s">
        <v>27</v>
      </c>
      <c r="C39" s="7" t="s">
        <v>28</v>
      </c>
      <c r="D39" s="7" t="s">
        <v>252</v>
      </c>
      <c r="E39" s="7" t="s">
        <v>253</v>
      </c>
      <c r="F39" s="7">
        <v>0.5790214538574219</v>
      </c>
      <c r="G39" s="7" t="s">
        <v>31</v>
      </c>
      <c r="H39" s="7" t="s">
        <v>254</v>
      </c>
      <c r="I39" s="7">
        <v>0.0</v>
      </c>
      <c r="J39" s="7">
        <v>0.0</v>
      </c>
      <c r="K39" s="7">
        <v>1.0</v>
      </c>
      <c r="L39" s="7" t="s">
        <v>255</v>
      </c>
      <c r="M39" s="7" t="s">
        <v>253</v>
      </c>
      <c r="N39" s="8"/>
      <c r="O39" s="8"/>
      <c r="P39" s="8"/>
      <c r="Q39" s="8"/>
      <c r="R39" s="8"/>
      <c r="S39" s="8"/>
      <c r="T39" s="8"/>
      <c r="U39" s="8"/>
      <c r="V39" s="8"/>
      <c r="W39" s="8"/>
      <c r="X39" s="9"/>
      <c r="Y39" s="10">
        <f t="shared" si="1"/>
        <v>5</v>
      </c>
      <c r="Z39" s="10">
        <f t="shared" si="2"/>
        <v>5</v>
      </c>
    </row>
    <row r="40" ht="15.75" customHeight="1">
      <c r="A40" s="7" t="s">
        <v>256</v>
      </c>
      <c r="B40" s="7" t="s">
        <v>27</v>
      </c>
      <c r="C40" s="7" t="s">
        <v>28</v>
      </c>
      <c r="D40" s="7" t="s">
        <v>257</v>
      </c>
      <c r="E40" s="7" t="s">
        <v>258</v>
      </c>
      <c r="F40" s="7">
        <v>0.5207265615463257</v>
      </c>
      <c r="G40" s="7" t="s">
        <v>31</v>
      </c>
      <c r="H40" s="7" t="s">
        <v>259</v>
      </c>
      <c r="I40" s="7">
        <v>0.0</v>
      </c>
      <c r="J40" s="7">
        <v>1.0</v>
      </c>
      <c r="K40" s="7">
        <v>0.0</v>
      </c>
      <c r="L40" s="7" t="s">
        <v>260</v>
      </c>
      <c r="M40" s="7" t="s">
        <v>261</v>
      </c>
      <c r="N40" s="8"/>
      <c r="O40" s="8"/>
      <c r="P40" s="8"/>
      <c r="Q40" s="8"/>
      <c r="R40" s="8"/>
      <c r="S40" s="8"/>
      <c r="T40" s="8"/>
      <c r="U40" s="8"/>
      <c r="V40" s="8"/>
      <c r="W40" s="8"/>
      <c r="X40" s="9"/>
      <c r="Y40" s="10">
        <f t="shared" si="1"/>
        <v>5</v>
      </c>
      <c r="Z40" s="10">
        <f t="shared" si="2"/>
        <v>5</v>
      </c>
    </row>
    <row r="41" ht="15.75" customHeight="1">
      <c r="A41" s="7" t="s">
        <v>262</v>
      </c>
      <c r="B41" s="7" t="s">
        <v>27</v>
      </c>
      <c r="C41" s="7" t="s">
        <v>28</v>
      </c>
      <c r="D41" s="7" t="s">
        <v>263</v>
      </c>
      <c r="E41" s="7" t="s">
        <v>264</v>
      </c>
      <c r="F41" s="7">
        <v>0.5731620788574219</v>
      </c>
      <c r="G41" s="7" t="s">
        <v>31</v>
      </c>
      <c r="H41" s="7" t="s">
        <v>265</v>
      </c>
      <c r="I41" s="7">
        <v>0.0</v>
      </c>
      <c r="J41" s="7">
        <v>0.0</v>
      </c>
      <c r="K41" s="7">
        <v>1.0</v>
      </c>
      <c r="L41" s="7" t="s">
        <v>266</v>
      </c>
      <c r="M41" s="7" t="s">
        <v>264</v>
      </c>
      <c r="N41" s="8"/>
      <c r="O41" s="8"/>
      <c r="P41" s="8"/>
      <c r="Q41" s="8"/>
      <c r="R41" s="8"/>
      <c r="S41" s="8"/>
      <c r="T41" s="8"/>
      <c r="U41" s="8"/>
      <c r="V41" s="8"/>
      <c r="W41" s="8"/>
      <c r="X41" s="7"/>
      <c r="Y41" s="10">
        <f t="shared" si="1"/>
        <v>5</v>
      </c>
      <c r="Z41" s="10">
        <f t="shared" si="2"/>
        <v>5</v>
      </c>
    </row>
    <row r="42" ht="15.75" customHeight="1">
      <c r="A42" s="7" t="s">
        <v>267</v>
      </c>
      <c r="B42" s="7" t="s">
        <v>27</v>
      </c>
      <c r="C42" s="7" t="s">
        <v>28</v>
      </c>
      <c r="D42" s="7" t="s">
        <v>268</v>
      </c>
      <c r="E42" s="7" t="s">
        <v>269</v>
      </c>
      <c r="F42" s="7">
        <v>0.4890683591365814</v>
      </c>
      <c r="G42" s="7" t="s">
        <v>31</v>
      </c>
      <c r="H42" s="7" t="s">
        <v>270</v>
      </c>
      <c r="I42" s="7">
        <v>0.0</v>
      </c>
      <c r="J42" s="7">
        <v>0.0</v>
      </c>
      <c r="K42" s="7">
        <v>2.0</v>
      </c>
      <c r="L42" s="7" t="s">
        <v>271</v>
      </c>
      <c r="M42" s="7" t="s">
        <v>269</v>
      </c>
      <c r="N42" s="8"/>
      <c r="O42" s="8"/>
      <c r="P42" s="8"/>
      <c r="Q42" s="8"/>
      <c r="R42" s="8"/>
      <c r="S42" s="8"/>
      <c r="T42" s="8"/>
      <c r="U42" s="8"/>
      <c r="V42" s="8"/>
      <c r="W42" s="8"/>
      <c r="X42" s="9"/>
      <c r="Y42" s="10">
        <f t="shared" si="1"/>
        <v>5</v>
      </c>
      <c r="Z42" s="10">
        <f t="shared" si="2"/>
        <v>5</v>
      </c>
    </row>
    <row r="43" ht="15.75" customHeight="1">
      <c r="A43" s="7" t="s">
        <v>272</v>
      </c>
      <c r="B43" s="7" t="s">
        <v>27</v>
      </c>
      <c r="C43" s="7" t="s">
        <v>28</v>
      </c>
      <c r="D43" s="7" t="s">
        <v>273</v>
      </c>
      <c r="E43" s="7" t="s">
        <v>274</v>
      </c>
      <c r="F43" s="7">
        <v>0.5626640319824219</v>
      </c>
      <c r="G43" s="7" t="s">
        <v>31</v>
      </c>
      <c r="H43" s="7" t="s">
        <v>275</v>
      </c>
      <c r="I43" s="7">
        <v>0.0</v>
      </c>
      <c r="J43" s="7">
        <v>0.0</v>
      </c>
      <c r="K43" s="7">
        <v>1.0</v>
      </c>
      <c r="L43" s="7" t="s">
        <v>276</v>
      </c>
      <c r="M43" s="7" t="s">
        <v>277</v>
      </c>
      <c r="N43" s="8"/>
      <c r="O43" s="8"/>
      <c r="P43" s="8"/>
      <c r="Q43" s="8"/>
      <c r="R43" s="8"/>
      <c r="S43" s="8"/>
      <c r="T43" s="8"/>
      <c r="U43" s="8"/>
      <c r="V43" s="8"/>
      <c r="W43" s="8"/>
      <c r="X43" s="9"/>
      <c r="Y43" s="10">
        <f t="shared" si="1"/>
        <v>5</v>
      </c>
      <c r="Z43" s="10">
        <f t="shared" si="2"/>
        <v>5</v>
      </c>
    </row>
    <row r="44" ht="15.75" customHeight="1">
      <c r="A44" s="7" t="s">
        <v>278</v>
      </c>
      <c r="B44" s="7" t="s">
        <v>27</v>
      </c>
      <c r="C44" s="7" t="s">
        <v>28</v>
      </c>
      <c r="D44" s="7" t="s">
        <v>279</v>
      </c>
      <c r="E44" s="7" t="s">
        <v>280</v>
      </c>
      <c r="F44" s="7">
        <v>0.5826835632324219</v>
      </c>
      <c r="G44" s="7" t="s">
        <v>31</v>
      </c>
      <c r="H44" s="7" t="s">
        <v>281</v>
      </c>
      <c r="I44" s="7">
        <v>0.0</v>
      </c>
      <c r="J44" s="7">
        <v>0.0</v>
      </c>
      <c r="K44" s="7">
        <v>1.0</v>
      </c>
      <c r="L44" s="7" t="s">
        <v>282</v>
      </c>
      <c r="M44" s="7" t="s">
        <v>283</v>
      </c>
      <c r="N44" s="8"/>
      <c r="O44" s="8"/>
      <c r="P44" s="8"/>
      <c r="Q44" s="8"/>
      <c r="R44" s="8"/>
      <c r="S44" s="8"/>
      <c r="T44" s="8"/>
      <c r="U44" s="8"/>
      <c r="V44" s="8"/>
      <c r="W44" s="8"/>
      <c r="X44" s="9"/>
      <c r="Y44" s="10">
        <f t="shared" si="1"/>
        <v>5</v>
      </c>
      <c r="Z44" s="10">
        <f t="shared" si="2"/>
        <v>5</v>
      </c>
    </row>
    <row r="45" ht="15.75" customHeight="1">
      <c r="A45" s="7" t="s">
        <v>284</v>
      </c>
      <c r="B45" s="7" t="s">
        <v>27</v>
      </c>
      <c r="C45" s="7" t="s">
        <v>28</v>
      </c>
      <c r="D45" s="7" t="s">
        <v>285</v>
      </c>
      <c r="E45" s="7" t="s">
        <v>286</v>
      </c>
      <c r="F45" s="7">
        <v>0.564606249332428</v>
      </c>
      <c r="G45" s="7" t="s">
        <v>31</v>
      </c>
      <c r="H45" s="7" t="s">
        <v>287</v>
      </c>
      <c r="I45" s="7">
        <v>1.0</v>
      </c>
      <c r="J45" s="7">
        <v>0.0</v>
      </c>
      <c r="K45" s="7">
        <v>1.0</v>
      </c>
      <c r="L45" s="7" t="s">
        <v>288</v>
      </c>
      <c r="M45" s="7" t="s">
        <v>289</v>
      </c>
      <c r="N45" s="8"/>
      <c r="O45" s="8"/>
      <c r="P45" s="8"/>
      <c r="Q45" s="8"/>
      <c r="R45" s="8"/>
      <c r="S45" s="8"/>
      <c r="T45" s="8"/>
      <c r="U45" s="8"/>
      <c r="V45" s="8"/>
      <c r="W45" s="8"/>
      <c r="X45" s="9"/>
      <c r="Y45" s="10">
        <f t="shared" si="1"/>
        <v>5</v>
      </c>
      <c r="Z45" s="10">
        <f t="shared" si="2"/>
        <v>5</v>
      </c>
    </row>
    <row r="46" ht="15.75" customHeight="1">
      <c r="A46" s="7" t="s">
        <v>290</v>
      </c>
      <c r="B46" s="7" t="s">
        <v>27</v>
      </c>
      <c r="C46" s="7" t="s">
        <v>28</v>
      </c>
      <c r="D46" s="7" t="s">
        <v>291</v>
      </c>
      <c r="E46" s="7" t="s">
        <v>292</v>
      </c>
      <c r="F46" s="7">
        <v>0.6660339832305908</v>
      </c>
      <c r="G46" s="7" t="s">
        <v>85</v>
      </c>
      <c r="H46" s="7" t="s">
        <v>293</v>
      </c>
      <c r="I46" s="7">
        <v>1.0</v>
      </c>
      <c r="J46" s="7">
        <v>0.0</v>
      </c>
      <c r="K46" s="7">
        <v>0.0</v>
      </c>
      <c r="L46" s="7"/>
      <c r="M46" s="7" t="s">
        <v>294</v>
      </c>
      <c r="N46" s="8"/>
      <c r="O46" s="11">
        <v>1.0</v>
      </c>
      <c r="P46" s="8"/>
      <c r="Q46" s="8"/>
      <c r="R46" s="8"/>
      <c r="S46" s="8"/>
      <c r="T46" s="8"/>
      <c r="U46" s="8"/>
      <c r="V46" s="8"/>
      <c r="W46" s="8"/>
      <c r="X46" s="12" t="s">
        <v>295</v>
      </c>
      <c r="Y46" s="10">
        <f t="shared" si="1"/>
        <v>4</v>
      </c>
      <c r="Z46" s="10">
        <f t="shared" si="2"/>
        <v>5</v>
      </c>
    </row>
    <row r="47" ht="15.75" customHeight="1">
      <c r="A47" s="7" t="s">
        <v>296</v>
      </c>
      <c r="B47" s="7" t="s">
        <v>27</v>
      </c>
      <c r="C47" s="7" t="s">
        <v>28</v>
      </c>
      <c r="D47" s="7" t="s">
        <v>297</v>
      </c>
      <c r="E47" s="7" t="s">
        <v>298</v>
      </c>
      <c r="F47" s="7">
        <v>0.7192676067352295</v>
      </c>
      <c r="G47" s="7" t="s">
        <v>85</v>
      </c>
      <c r="H47" s="7" t="s">
        <v>86</v>
      </c>
      <c r="I47" s="7">
        <v>0.0</v>
      </c>
      <c r="J47" s="7">
        <v>0.0</v>
      </c>
      <c r="K47" s="7">
        <v>0.0</v>
      </c>
      <c r="L47" s="7" t="s">
        <v>299</v>
      </c>
      <c r="M47" s="7" t="s">
        <v>300</v>
      </c>
      <c r="N47" s="8"/>
      <c r="O47" s="8"/>
      <c r="P47" s="8"/>
      <c r="Q47" s="8"/>
      <c r="R47" s="8"/>
      <c r="S47" s="8"/>
      <c r="T47" s="8"/>
      <c r="U47" s="8"/>
      <c r="V47" s="8"/>
      <c r="W47" s="8"/>
      <c r="X47" s="9"/>
      <c r="Y47" s="10">
        <f t="shared" si="1"/>
        <v>5</v>
      </c>
      <c r="Z47" s="10">
        <f t="shared" si="2"/>
        <v>5</v>
      </c>
    </row>
    <row r="48" ht="15.75" customHeight="1">
      <c r="A48" s="7" t="s">
        <v>301</v>
      </c>
      <c r="B48" s="7" t="s">
        <v>27</v>
      </c>
      <c r="C48" s="7" t="s">
        <v>28</v>
      </c>
      <c r="D48" s="7" t="s">
        <v>302</v>
      </c>
      <c r="E48" s="7" t="s">
        <v>303</v>
      </c>
      <c r="F48" s="7">
        <v>0.4871152341365814</v>
      </c>
      <c r="G48" s="7" t="s">
        <v>31</v>
      </c>
      <c r="H48" s="7" t="s">
        <v>304</v>
      </c>
      <c r="I48" s="7">
        <v>0.0</v>
      </c>
      <c r="J48" s="7">
        <v>0.0</v>
      </c>
      <c r="K48" s="7">
        <v>2.0</v>
      </c>
      <c r="L48" s="7" t="s">
        <v>305</v>
      </c>
      <c r="M48" s="7" t="s">
        <v>306</v>
      </c>
      <c r="N48" s="8"/>
      <c r="O48" s="8"/>
      <c r="P48" s="8"/>
      <c r="Q48" s="8"/>
      <c r="R48" s="8"/>
      <c r="S48" s="8"/>
      <c r="T48" s="8"/>
      <c r="U48" s="8"/>
      <c r="V48" s="8"/>
      <c r="W48" s="8"/>
      <c r="X48" s="9"/>
      <c r="Y48" s="10">
        <f t="shared" si="1"/>
        <v>5</v>
      </c>
      <c r="Z48" s="10">
        <f t="shared" si="2"/>
        <v>5</v>
      </c>
    </row>
    <row r="49" ht="15.75" customHeight="1">
      <c r="A49" s="7" t="s">
        <v>307</v>
      </c>
      <c r="B49" s="7" t="s">
        <v>27</v>
      </c>
      <c r="C49" s="7" t="s">
        <v>28</v>
      </c>
      <c r="D49" s="7" t="s">
        <v>308</v>
      </c>
      <c r="E49" s="7" t="s">
        <v>309</v>
      </c>
      <c r="F49" s="7">
        <v>0.4954160153865814</v>
      </c>
      <c r="G49" s="7" t="s">
        <v>31</v>
      </c>
      <c r="H49" s="7" t="s">
        <v>310</v>
      </c>
      <c r="I49" s="7">
        <v>0.0</v>
      </c>
      <c r="J49" s="7">
        <v>0.0</v>
      </c>
      <c r="K49" s="7">
        <v>2.0</v>
      </c>
      <c r="L49" s="7" t="s">
        <v>311</v>
      </c>
      <c r="M49" s="7" t="s">
        <v>309</v>
      </c>
      <c r="N49" s="8"/>
      <c r="O49" s="8"/>
      <c r="P49" s="8"/>
      <c r="Q49" s="8"/>
      <c r="R49" s="8"/>
      <c r="S49" s="8"/>
      <c r="T49" s="8"/>
      <c r="U49" s="8"/>
      <c r="V49" s="8"/>
      <c r="W49" s="8"/>
      <c r="X49" s="9"/>
      <c r="Y49" s="10">
        <f t="shared" si="1"/>
        <v>5</v>
      </c>
      <c r="Z49" s="10">
        <f t="shared" si="2"/>
        <v>5</v>
      </c>
    </row>
    <row r="50" ht="15.75" customHeight="1">
      <c r="A50" s="7" t="s">
        <v>312</v>
      </c>
      <c r="B50" s="7" t="s">
        <v>27</v>
      </c>
      <c r="C50" s="7" t="s">
        <v>28</v>
      </c>
      <c r="D50" s="7" t="s">
        <v>313</v>
      </c>
      <c r="E50" s="7" t="s">
        <v>314</v>
      </c>
      <c r="F50" s="7">
        <v>0.409423828125</v>
      </c>
      <c r="G50" s="7" t="s">
        <v>31</v>
      </c>
      <c r="H50" s="7" t="s">
        <v>315</v>
      </c>
      <c r="I50" s="7">
        <v>0.0</v>
      </c>
      <c r="J50" s="7">
        <v>0.0</v>
      </c>
      <c r="K50" s="7">
        <v>3.0</v>
      </c>
      <c r="L50" s="7" t="s">
        <v>316</v>
      </c>
      <c r="M50" s="7" t="s">
        <v>317</v>
      </c>
      <c r="N50" s="8"/>
      <c r="O50" s="8"/>
      <c r="P50" s="8"/>
      <c r="Q50" s="8"/>
      <c r="R50" s="8"/>
      <c r="S50" s="8"/>
      <c r="T50" s="8"/>
      <c r="U50" s="8"/>
      <c r="V50" s="8"/>
      <c r="W50" s="8"/>
      <c r="X50" s="9"/>
      <c r="Y50" s="10">
        <f t="shared" si="1"/>
        <v>5</v>
      </c>
      <c r="Z50" s="10">
        <f t="shared" si="2"/>
        <v>5</v>
      </c>
    </row>
    <row r="51" ht="15.75" customHeight="1">
      <c r="A51" s="7" t="s">
        <v>318</v>
      </c>
      <c r="B51" s="7" t="s">
        <v>27</v>
      </c>
      <c r="C51" s="7" t="s">
        <v>28</v>
      </c>
      <c r="D51" s="7" t="s">
        <v>319</v>
      </c>
      <c r="E51" s="7" t="s">
        <v>320</v>
      </c>
      <c r="F51" s="7">
        <v>0.5880546569824219</v>
      </c>
      <c r="G51" s="7" t="s">
        <v>31</v>
      </c>
      <c r="H51" s="7" t="s">
        <v>321</v>
      </c>
      <c r="I51" s="7">
        <v>0.0</v>
      </c>
      <c r="J51" s="7">
        <v>0.0</v>
      </c>
      <c r="K51" s="7">
        <v>1.0</v>
      </c>
      <c r="L51" s="7" t="s">
        <v>322</v>
      </c>
      <c r="M51" s="7" t="s">
        <v>320</v>
      </c>
      <c r="N51" s="8"/>
      <c r="O51" s="8"/>
      <c r="P51" s="8"/>
      <c r="Q51" s="8"/>
      <c r="R51" s="8"/>
      <c r="S51" s="8"/>
      <c r="T51" s="8"/>
      <c r="U51" s="8"/>
      <c r="V51" s="8"/>
      <c r="W51" s="8"/>
      <c r="X51" s="9"/>
      <c r="Y51" s="10">
        <f t="shared" si="1"/>
        <v>5</v>
      </c>
      <c r="Z51" s="10">
        <f t="shared" si="2"/>
        <v>5</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N2:W51">
      <formula1>"1,0"</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2025-11-21T07:20:53Z</dcterms:created>
  <dc:creator>openpyxl</dc:creator>
</cp:coreProperties>
</file>